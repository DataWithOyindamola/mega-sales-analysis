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HomePC\AppData\Roaming\Microsoft\Windows\Network Shortcuts\"/>
    </mc:Choice>
  </mc:AlternateContent>
  <xr:revisionPtr revIDLastSave="0" documentId="13_ncr:1_{F5F35A74-9909-4C80-BB01-DE9A02BCCF2E}" xr6:coauthVersionLast="47" xr6:coauthVersionMax="47" xr10:uidLastSave="{00000000-0000-0000-0000-000000000000}"/>
  <bookViews>
    <workbookView xWindow="-110" yWindow="-110" windowWidth="19420" windowHeight="10300" activeTab="1" xr2:uid="{164A3511-1F17-446D-B9C7-BB4BD7E6ACC5}"/>
  </bookViews>
  <sheets>
    <sheet name="Data Entry" sheetId="2" r:id="rId1"/>
    <sheet name="Data Cleaning" sheetId="1" r:id="rId2"/>
    <sheet name="Lookup Tables" sheetId="3" r:id="rId3"/>
    <sheet name="Pivot_PaymentMethod" sheetId="4" r:id="rId4"/>
  </sheets>
  <definedNames>
    <definedName name="Slicer_Category">#N/A</definedName>
    <definedName name="Slicer_Payment">#N/A</definedName>
    <definedName name="Slicer_Product">#N/A</definedName>
    <definedName name="Slicer_Region">#N/A</definedName>
    <definedName name="Slicer_Store_Name_Clean">#N/A</definedName>
    <definedName name="StateLookup">'Lookup Tables'!$A$1:$B$16</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S32" i="1"/>
  <c r="S35" i="1" s="1"/>
  <c r="S26" i="1"/>
  <c r="S24" i="1"/>
  <c r="S20" i="1"/>
  <c r="S15" i="1"/>
  <c r="S13" i="1"/>
  <c r="S11" i="1"/>
  <c r="S5"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2" i="1"/>
  <c r="U2" i="1" l="1"/>
</calcChain>
</file>

<file path=xl/sharedStrings.xml><?xml version="1.0" encoding="utf-8"?>
<sst xmlns="http://schemas.openxmlformats.org/spreadsheetml/2006/main" count="886" uniqueCount="220">
  <si>
    <t>Trans ID</t>
  </si>
  <si>
    <t>Date</t>
  </si>
  <si>
    <t>Store ID</t>
  </si>
  <si>
    <t>Store Name</t>
  </si>
  <si>
    <t>Location</t>
  </si>
  <si>
    <t>State</t>
  </si>
  <si>
    <t>Region</t>
  </si>
  <si>
    <t>Salesperson</t>
  </si>
  <si>
    <t>Category</t>
  </si>
  <si>
    <t>Product</t>
  </si>
  <si>
    <t>Price</t>
  </si>
  <si>
    <t>Qty</t>
  </si>
  <si>
    <t>Disc</t>
  </si>
  <si>
    <t>Payment</t>
  </si>
  <si>
    <t>Age</t>
  </si>
  <si>
    <t>1OO1</t>
  </si>
  <si>
    <t>S01</t>
  </si>
  <si>
    <t>Mega Lagos</t>
  </si>
  <si>
    <t>Lagos</t>
  </si>
  <si>
    <t>West</t>
  </si>
  <si>
    <t>John D</t>
  </si>
  <si>
    <t>Electronics</t>
  </si>
  <si>
    <t>Laptop</t>
  </si>
  <si>
    <t>Cash</t>
  </si>
  <si>
    <t>1OO2</t>
  </si>
  <si>
    <t>S02</t>
  </si>
  <si>
    <t>Mega Abuja</t>
  </si>
  <si>
    <t>Abuja</t>
  </si>
  <si>
    <t>FCT</t>
  </si>
  <si>
    <t>North</t>
  </si>
  <si>
    <t>Jane S</t>
  </si>
  <si>
    <t>Clothing</t>
  </si>
  <si>
    <t>Shirt</t>
  </si>
  <si>
    <t>card</t>
  </si>
  <si>
    <t>1OO3</t>
  </si>
  <si>
    <t>S03</t>
  </si>
  <si>
    <t>Mega PH</t>
  </si>
  <si>
    <t>PH</t>
  </si>
  <si>
    <t>Rivers</t>
  </si>
  <si>
    <t>South</t>
  </si>
  <si>
    <t>Peter O</t>
  </si>
  <si>
    <t>Grocery</t>
  </si>
  <si>
    <t>Rice</t>
  </si>
  <si>
    <t>Bank Transfer</t>
  </si>
  <si>
    <t>1OO4</t>
  </si>
  <si>
    <t>mary j</t>
  </si>
  <si>
    <t>Phone</t>
  </si>
  <si>
    <t>1OO5</t>
  </si>
  <si>
    <t>S04</t>
  </si>
  <si>
    <t>Mega Kano</t>
  </si>
  <si>
    <t>Kano</t>
  </si>
  <si>
    <t>David K</t>
  </si>
  <si>
    <t>Jeans</t>
  </si>
  <si>
    <t>Card</t>
  </si>
  <si>
    <t>1OO6</t>
  </si>
  <si>
    <t>S05</t>
  </si>
  <si>
    <t>Mega Ibadan</t>
  </si>
  <si>
    <t>Ibadan</t>
  </si>
  <si>
    <t>Oyo</t>
  </si>
  <si>
    <t>Sarah A</t>
  </si>
  <si>
    <t>Beans</t>
  </si>
  <si>
    <t>1OO7</t>
  </si>
  <si>
    <t>CASH</t>
  </si>
  <si>
    <t>1OO8</t>
  </si>
  <si>
    <t>S06</t>
  </si>
  <si>
    <t>Mega Benin</t>
  </si>
  <si>
    <t>Benin</t>
  </si>
  <si>
    <t>Edo</t>
  </si>
  <si>
    <t>Mark T</t>
  </si>
  <si>
    <t>Dress</t>
  </si>
  <si>
    <t>cash</t>
  </si>
  <si>
    <t>1OO9</t>
  </si>
  <si>
    <t>Oil</t>
  </si>
  <si>
    <t>1O1O</t>
  </si>
  <si>
    <t>S07</t>
  </si>
  <si>
    <t>Mega Enugu</t>
  </si>
  <si>
    <t>Enugu</t>
  </si>
  <si>
    <t>East</t>
  </si>
  <si>
    <t>Grace N</t>
  </si>
  <si>
    <t xml:space="preserve">1O11 </t>
  </si>
  <si>
    <t>john d</t>
  </si>
  <si>
    <t>1O12</t>
  </si>
  <si>
    <t>S08</t>
  </si>
  <si>
    <t>Mega Ilorin</t>
  </si>
  <si>
    <t>Ilorin</t>
  </si>
  <si>
    <t>Kwara</t>
  </si>
  <si>
    <t>Sunday O</t>
  </si>
  <si>
    <t>1O13</t>
  </si>
  <si>
    <t>1O14</t>
  </si>
  <si>
    <t>S09</t>
  </si>
  <si>
    <t>Mega Abeokuta</t>
  </si>
  <si>
    <t>Abeokuta</t>
  </si>
  <si>
    <t>Ogun</t>
  </si>
  <si>
    <t>Tunde B</t>
  </si>
  <si>
    <t>1O15</t>
  </si>
  <si>
    <t>jane s</t>
  </si>
  <si>
    <t>1O16</t>
  </si>
  <si>
    <t>S10</t>
  </si>
  <si>
    <t>Mega Jos</t>
  </si>
  <si>
    <t>Jos</t>
  </si>
  <si>
    <t>Plateau</t>
  </si>
  <si>
    <t>Emeka C</t>
  </si>
  <si>
    <t>1O17</t>
  </si>
  <si>
    <t>1O18</t>
  </si>
  <si>
    <t>peter O</t>
  </si>
  <si>
    <t>1O19</t>
  </si>
  <si>
    <t xml:space="preserve">S11 </t>
  </si>
  <si>
    <t>Mega Kaduna</t>
  </si>
  <si>
    <t>Kaduna</t>
  </si>
  <si>
    <t>Zainab M</t>
  </si>
  <si>
    <t>1O2O</t>
  </si>
  <si>
    <t>1O21</t>
  </si>
  <si>
    <t>S12</t>
  </si>
  <si>
    <t>Mega Warri</t>
  </si>
  <si>
    <t>Warri</t>
  </si>
  <si>
    <t>Delta</t>
  </si>
  <si>
    <t>Chidi E</t>
  </si>
  <si>
    <t>1O22</t>
  </si>
  <si>
    <t>1O23</t>
  </si>
  <si>
    <t>S13</t>
  </si>
  <si>
    <t>Mega Calabar</t>
  </si>
  <si>
    <t>Calabar</t>
  </si>
  <si>
    <t>Cross River</t>
  </si>
  <si>
    <t>Inyang A</t>
  </si>
  <si>
    <t>1O24</t>
  </si>
  <si>
    <t>1O25</t>
  </si>
  <si>
    <t>S14</t>
  </si>
  <si>
    <t>Mega Maiduguri</t>
  </si>
  <si>
    <t>Maiduguri</t>
  </si>
  <si>
    <t>Borno</t>
  </si>
  <si>
    <t>Ibrahim K</t>
  </si>
  <si>
    <t>1O26</t>
  </si>
  <si>
    <t>1O27</t>
  </si>
  <si>
    <t>S15</t>
  </si>
  <si>
    <t>Mega Sokoto</t>
  </si>
  <si>
    <t>Sokoto</t>
  </si>
  <si>
    <t>Halima B</t>
  </si>
  <si>
    <t>1O28</t>
  </si>
  <si>
    <t>1O29</t>
  </si>
  <si>
    <t>1O3O</t>
  </si>
  <si>
    <t>1O31</t>
  </si>
  <si>
    <t>1O32</t>
  </si>
  <si>
    <t>1O33</t>
  </si>
  <si>
    <t>1O34</t>
  </si>
  <si>
    <t>1O35</t>
  </si>
  <si>
    <t>1O36</t>
  </si>
  <si>
    <t>Store Name Clean</t>
  </si>
  <si>
    <t>Mega Ph</t>
  </si>
  <si>
    <t>Location Clean</t>
  </si>
  <si>
    <t>Ph</t>
  </si>
  <si>
    <t>Salesperson Clean</t>
  </si>
  <si>
    <t>John Doe</t>
  </si>
  <si>
    <t>Jane Smith</t>
  </si>
  <si>
    <t>Peter Obi</t>
  </si>
  <si>
    <t>Mary Johnson</t>
  </si>
  <si>
    <t>David Kay</t>
  </si>
  <si>
    <t>Sarah Ade</t>
  </si>
  <si>
    <t>Mark Thomas</t>
  </si>
  <si>
    <t>Grace Ngozi</t>
  </si>
  <si>
    <t>Chidi Eze</t>
  </si>
  <si>
    <t>Inyang Akpan</t>
  </si>
  <si>
    <t>Halima Bello</t>
  </si>
  <si>
    <t>Tunde Bello</t>
  </si>
  <si>
    <t>Emeka Chidi</t>
  </si>
  <si>
    <t>Sunday Okafor</t>
  </si>
  <si>
    <t>Ibrahim Kano</t>
  </si>
  <si>
    <t>Zainab Mohammed</t>
  </si>
  <si>
    <t>Abbreviation</t>
  </si>
  <si>
    <t>Full State Name</t>
  </si>
  <si>
    <t>Lagos State</t>
  </si>
  <si>
    <t>Federal Capital Territory</t>
  </si>
  <si>
    <t>Rivers State</t>
  </si>
  <si>
    <t>Oyo State</t>
  </si>
  <si>
    <t>Kano State</t>
  </si>
  <si>
    <t>Edo State</t>
  </si>
  <si>
    <t>Enugu State</t>
  </si>
  <si>
    <t>Kwara State</t>
  </si>
  <si>
    <t>Ogun State</t>
  </si>
  <si>
    <t>Plateau State</t>
  </si>
  <si>
    <t>Kaduna State</t>
  </si>
  <si>
    <t>Delta State</t>
  </si>
  <si>
    <t>Cross River State</t>
  </si>
  <si>
    <t>Borno State</t>
  </si>
  <si>
    <t>Sokoto State</t>
  </si>
  <si>
    <t>State Clean</t>
  </si>
  <si>
    <t>Year</t>
  </si>
  <si>
    <t>Month</t>
  </si>
  <si>
    <t>Quarter</t>
  </si>
  <si>
    <t>Row Labels</t>
  </si>
  <si>
    <t>Grand Total</t>
  </si>
  <si>
    <t>Column Labels</t>
  </si>
  <si>
    <t>Sum of Total Amount</t>
  </si>
  <si>
    <t>Count of Trans ID</t>
  </si>
  <si>
    <t>Sum of Qty</t>
  </si>
  <si>
    <t>(All)</t>
  </si>
  <si>
    <t>Count of Age</t>
  </si>
  <si>
    <t>23-27</t>
  </si>
  <si>
    <t>28-32</t>
  </si>
  <si>
    <t>33-37</t>
  </si>
  <si>
    <t>38-42</t>
  </si>
  <si>
    <t>43-47</t>
  </si>
  <si>
    <t>48-52</t>
  </si>
  <si>
    <t>53-57</t>
  </si>
  <si>
    <t>Jun</t>
  </si>
  <si>
    <t>Q2</t>
  </si>
  <si>
    <t>Mar</t>
  </si>
  <si>
    <t>Sep</t>
  </si>
  <si>
    <t>Q1</t>
  </si>
  <si>
    <t>Q3</t>
  </si>
  <si>
    <t>Jan</t>
  </si>
  <si>
    <t>Feb</t>
  </si>
  <si>
    <t>Apr</t>
  </si>
  <si>
    <t>May</t>
  </si>
  <si>
    <t>Jul</t>
  </si>
  <si>
    <t>Aug</t>
  </si>
  <si>
    <t>Oct</t>
  </si>
  <si>
    <t>Nov</t>
  </si>
  <si>
    <t>Dec</t>
  </si>
  <si>
    <t>Q4</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</si>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</sst>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0.00\ [$₦-467]"/>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10">
    <dxf>
      <font>
        <color rgb="FF9C0006"/>
      </font>
      <fill>
        <patternFill>
          <bgColor rgb="FFFFC7CE"/>
        </patternFill>
      </fill>
    </dxf>
    <dxf>
      <numFmt numFmtId="165" formatCode="#,##0.00\ [$₦-467]"/>
    </dxf>
    <dxf>
      <numFmt numFmtId="0" formatCode="General"/>
    </dxf>
    <dxf>
      <numFmt numFmtId="0" formatCode="General"/>
    </dxf>
    <dxf>
      <numFmt numFmtId="0" formatCode="General"/>
    </dxf>
    <dxf>
      <numFmt numFmtId="0" formatCode="General"/>
    </dxf>
    <dxf>
      <numFmt numFmtId="164" formatCode="mm/dd/yy;@"/>
    </dxf>
    <dxf>
      <numFmt numFmtId="164" formatCode="mm/dd/yy;@"/>
    </dxf>
    <dxf>
      <numFmt numFmtId="164" formatCode="mm/dd/yy;@"/>
    </dxf>
    <dxf>
      <numFmt numFmtId="164" formatCode="mm/d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Week One Assignment.xlsx]Pivot_PaymentMethod!PivotTable6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Pivot_PaymentMethod!$O$44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Pivot_PaymentMethod!$N$45:$N$57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Pivot_PaymentMethod!$O$45:$O$57</c:f>
              <c:numCache>
                <c:formatCode>#,##0.00\ [$₦-467]</c:formatCode>
                <c:ptCount val="12"/>
                <c:pt idx="0">
                  <c:v>3665</c:v>
                </c:pt>
                <c:pt idx="1">
                  <c:v>2810</c:v>
                </c:pt>
                <c:pt idx="2">
                  <c:v>4500</c:v>
                </c:pt>
                <c:pt idx="3">
                  <c:v>3365</c:v>
                </c:pt>
                <c:pt idx="4">
                  <c:v>3540</c:v>
                </c:pt>
                <c:pt idx="5">
                  <c:v>5405</c:v>
                </c:pt>
                <c:pt idx="6">
                  <c:v>4545</c:v>
                </c:pt>
                <c:pt idx="7">
                  <c:v>4560</c:v>
                </c:pt>
                <c:pt idx="8">
                  <c:v>3205</c:v>
                </c:pt>
                <c:pt idx="9">
                  <c:v>5537.5</c:v>
                </c:pt>
                <c:pt idx="10">
                  <c:v>6990</c:v>
                </c:pt>
                <c:pt idx="11">
                  <c:v>8040</c:v>
                </c:pt>
              </c:numCache>
            </c:numRef>
          </c:val>
          <c:smooth val="0"/>
          <c:extLst>
            <c:ext xmlns:c16="http://schemas.microsoft.com/office/drawing/2014/chart" uri="{C3380CC4-5D6E-409C-BE32-E72D297353CC}">
              <c16:uniqueId val="{00000000-A703-40A2-88CB-628E7D600291}"/>
            </c:ext>
          </c:extLst>
        </c:ser>
        <c:dLbls>
          <c:dLblPos val="t"/>
          <c:showLegendKey val="0"/>
          <c:showVal val="1"/>
          <c:showCatName val="0"/>
          <c:showSerName val="0"/>
          <c:showPercent val="0"/>
          <c:showBubbleSize val="0"/>
        </c:dLbls>
        <c:smooth val="0"/>
        <c:axId val="321491935"/>
        <c:axId val="220522559"/>
      </c:lineChart>
      <c:catAx>
        <c:axId val="3214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522559"/>
        <c:crosses val="autoZero"/>
        <c:auto val="1"/>
        <c:lblAlgn val="ctr"/>
        <c:lblOffset val="100"/>
        <c:noMultiLvlLbl val="0"/>
      </c:catAx>
      <c:valAx>
        <c:axId val="220522559"/>
        <c:scaling>
          <c:orientation val="minMax"/>
        </c:scaling>
        <c:delete val="0"/>
        <c:axPos val="l"/>
        <c:majorGridlines>
          <c:spPr>
            <a:ln w="9525" cap="flat" cmpd="sng" algn="ctr">
              <a:solidFill>
                <a:schemeClr val="tx1">
                  <a:lumMod val="15000"/>
                  <a:lumOff val="85000"/>
                </a:schemeClr>
              </a:solidFill>
              <a:round/>
            </a:ln>
            <a:effectLst/>
          </c:spPr>
        </c:majorGridlines>
        <c:numFmt formatCode="#,##0.00\ [$₦-467]"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9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Week One Assignment.xlsx]Pivot_PaymentMethod!PivotTable7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Pivot_PaymentMethod!$W$69</c:f>
              <c:strCache>
                <c:ptCount val="1"/>
                <c:pt idx="0">
                  <c:v>Sum of Total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61-4E7C-94E4-683D2DA0A3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61-4E7C-94E4-683D2DA0A3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61-4E7C-94E4-683D2DA0A34E}"/>
              </c:ext>
            </c:extLst>
          </c:dPt>
          <c:cat>
            <c:strRef>
              <c:f>Pivot_PaymentMethod!$V$70:$V$73</c:f>
              <c:strCache>
                <c:ptCount val="3"/>
                <c:pt idx="0">
                  <c:v>Bank Transfer</c:v>
                </c:pt>
                <c:pt idx="1">
                  <c:v>Card</c:v>
                </c:pt>
                <c:pt idx="2">
                  <c:v>Cash</c:v>
                </c:pt>
              </c:strCache>
            </c:strRef>
          </c:cat>
          <c:val>
            <c:numRef>
              <c:f>Pivot_PaymentMethod!$W$70:$W$73</c:f>
              <c:numCache>
                <c:formatCode>0.00%</c:formatCode>
                <c:ptCount val="3"/>
                <c:pt idx="0">
                  <c:v>0.27545070109058534</c:v>
                </c:pt>
                <c:pt idx="1">
                  <c:v>0.2095704429111952</c:v>
                </c:pt>
                <c:pt idx="2">
                  <c:v>0.51497885599821946</c:v>
                </c:pt>
              </c:numCache>
            </c:numRef>
          </c:val>
          <c:extLst>
            <c:ext xmlns:c16="http://schemas.microsoft.com/office/drawing/2014/chart" uri="{C3380CC4-5D6E-409C-BE32-E72D297353CC}">
              <c16:uniqueId val="{00000000-34F2-4D10-A258-09682F4E3D08}"/>
            </c:ext>
          </c:extLst>
        </c:ser>
        <c:ser>
          <c:idx val="1"/>
          <c:order val="1"/>
          <c:tx>
            <c:strRef>
              <c:f>Pivot_PaymentMethod!$X$69</c:f>
              <c:strCache>
                <c:ptCount val="1"/>
                <c:pt idx="0">
                  <c:v>Count of Trans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1561-4E7C-94E4-683D2DA0A3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1561-4E7C-94E4-683D2DA0A3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1561-4E7C-94E4-683D2DA0A34E}"/>
              </c:ext>
            </c:extLst>
          </c:dPt>
          <c:cat>
            <c:strRef>
              <c:f>Pivot_PaymentMethod!$V$70:$V$73</c:f>
              <c:strCache>
                <c:ptCount val="3"/>
                <c:pt idx="0">
                  <c:v>Bank Transfer</c:v>
                </c:pt>
                <c:pt idx="1">
                  <c:v>Card</c:v>
                </c:pt>
                <c:pt idx="2">
                  <c:v>Cash</c:v>
                </c:pt>
              </c:strCache>
            </c:strRef>
          </c:cat>
          <c:val>
            <c:numRef>
              <c:f>Pivot_PaymentMethod!$X$70:$X$73</c:f>
              <c:numCache>
                <c:formatCode>General</c:formatCode>
                <c:ptCount val="3"/>
                <c:pt idx="0">
                  <c:v>9</c:v>
                </c:pt>
                <c:pt idx="1">
                  <c:v>9</c:v>
                </c:pt>
                <c:pt idx="2">
                  <c:v>18</c:v>
                </c:pt>
              </c:numCache>
            </c:numRef>
          </c:val>
          <c:extLst>
            <c:ext xmlns:c16="http://schemas.microsoft.com/office/drawing/2014/chart" uri="{C3380CC4-5D6E-409C-BE32-E72D297353CC}">
              <c16:uniqueId val="{00000001-34F2-4D10-A258-09682F4E3D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247650</xdr:colOff>
      <xdr:row>57</xdr:row>
      <xdr:rowOff>184149</xdr:rowOff>
    </xdr:from>
    <xdr:to>
      <xdr:col>16</xdr:col>
      <xdr:colOff>222250</xdr:colOff>
      <xdr:row>72</xdr:row>
      <xdr:rowOff>155574</xdr:rowOff>
    </xdr:to>
    <xdr:graphicFrame macro="">
      <xdr:nvGraphicFramePr>
        <xdr:cNvPr id="2" name="Chart 1">
          <a:extLst>
            <a:ext uri="{FF2B5EF4-FFF2-40B4-BE49-F238E27FC236}">
              <a16:creationId xmlns:a16="http://schemas.microsoft.com/office/drawing/2014/main" id="{4ECDAD8C-FD0F-F532-8B94-A4960A3F4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393700</xdr:colOff>
      <xdr:row>33</xdr:row>
      <xdr:rowOff>114300</xdr:rowOff>
    </xdr:from>
    <xdr:to>
      <xdr:col>18</xdr:col>
      <xdr:colOff>393700</xdr:colOff>
      <xdr:row>47</xdr:row>
      <xdr:rowOff>60325</xdr:rowOff>
    </xdr:to>
    <mc:AlternateContent xmlns:mc="http://schemas.openxmlformats.org/markup-compatibility/2006" xmlns:a14="http://schemas.microsoft.com/office/drawing/2010/main">
      <mc:Choice Requires="a14">
        <xdr:graphicFrame macro="">
          <xdr:nvGraphicFramePr>
            <xdr:cNvPr id="3" name="Store Name Clean">
              <a:extLst>
                <a:ext uri="{FF2B5EF4-FFF2-40B4-BE49-F238E27FC236}">
                  <a16:creationId xmlns:a16="http://schemas.microsoft.com/office/drawing/2014/main" id="{6F47E84B-97AB-674B-A9E8-82E25D05418A}"/>
                </a:ext>
              </a:extLst>
            </xdr:cNvPr>
            <xdr:cNvGraphicFramePr/>
          </xdr:nvGraphicFramePr>
          <xdr:xfrm>
            <a:off x="0" y="0"/>
            <a:ext cx="0" cy="0"/>
          </xdr:xfrm>
          <a:graphic>
            <a:graphicData uri="http://schemas.microsoft.com/office/drawing/2010/slicer">
              <sle:slicer xmlns:sle="http://schemas.microsoft.com/office/drawing/2010/slicer" name="Store Name Clean"/>
            </a:graphicData>
          </a:graphic>
        </xdr:graphicFrame>
      </mc:Choice>
      <mc:Fallback xmlns="">
        <xdr:sp macro="" textlink="">
          <xdr:nvSpPr>
            <xdr:cNvPr id="0" name=""/>
            <xdr:cNvSpPr>
              <a:spLocks noTextEdit="1"/>
            </xdr:cNvSpPr>
          </xdr:nvSpPr>
          <xdr:spPr>
            <a:xfrm>
              <a:off x="14014450" y="6191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133350</xdr:colOff>
      <xdr:row>48</xdr:row>
      <xdr:rowOff>19050</xdr:rowOff>
    </xdr:from>
    <xdr:to>
      <xdr:col>19</xdr:col>
      <xdr:colOff>1098550</xdr:colOff>
      <xdr:row>61</xdr:row>
      <xdr:rowOff>149225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31982C4-8F26-95C9-119E-934290FE2E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582900" y="8858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558800</xdr:colOff>
      <xdr:row>33</xdr:row>
      <xdr:rowOff>88900</xdr:rowOff>
    </xdr:from>
    <xdr:to>
      <xdr:col>20</xdr:col>
      <xdr:colOff>209550</xdr:colOff>
      <xdr:row>47</xdr:row>
      <xdr:rowOff>34925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B572B8CE-57A4-D7DB-DAC8-6911BF729FA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008350" y="6165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374650</xdr:colOff>
      <xdr:row>48</xdr:row>
      <xdr:rowOff>19050</xdr:rowOff>
    </xdr:from>
    <xdr:to>
      <xdr:col>23</xdr:col>
      <xdr:colOff>25400</xdr:colOff>
      <xdr:row>61</xdr:row>
      <xdr:rowOff>149225</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C14CF6C8-AF2E-A0D1-4003-AFF0D2E96B5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653000" y="8858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69850</xdr:colOff>
      <xdr:row>33</xdr:row>
      <xdr:rowOff>63500</xdr:rowOff>
    </xdr:from>
    <xdr:to>
      <xdr:col>23</xdr:col>
      <xdr:colOff>584200</xdr:colOff>
      <xdr:row>47</xdr:row>
      <xdr:rowOff>9525</xdr:rowOff>
    </xdr:to>
    <mc:AlternateContent xmlns:mc="http://schemas.openxmlformats.org/markup-compatibility/2006" xmlns:a14="http://schemas.microsoft.com/office/drawing/2010/main">
      <mc:Choice Requires="a14">
        <xdr:graphicFrame macro="">
          <xdr:nvGraphicFramePr>
            <xdr:cNvPr id="7" name="Payment">
              <a:extLst>
                <a:ext uri="{FF2B5EF4-FFF2-40B4-BE49-F238E27FC236}">
                  <a16:creationId xmlns:a16="http://schemas.microsoft.com/office/drawing/2014/main" id="{7BB5A835-4BC4-DE1C-0695-AD0BEED76C0D}"/>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7957800" y="6140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571500</xdr:colOff>
      <xdr:row>74</xdr:row>
      <xdr:rowOff>15875</xdr:rowOff>
    </xdr:from>
    <xdr:to>
      <xdr:col>25</xdr:col>
      <xdr:colOff>457200</xdr:colOff>
      <xdr:row>88</xdr:row>
      <xdr:rowOff>180975</xdr:rowOff>
    </xdr:to>
    <xdr:graphicFrame macro="">
      <xdr:nvGraphicFramePr>
        <xdr:cNvPr id="8" name="Chart 7">
          <a:extLst>
            <a:ext uri="{FF2B5EF4-FFF2-40B4-BE49-F238E27FC236}">
              <a16:creationId xmlns:a16="http://schemas.microsoft.com/office/drawing/2014/main" id="{C931C560-2C17-149F-38B0-8A5CDB83F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42.743139699072" createdVersion="8" refreshedVersion="8" minRefreshableVersion="3" recordCount="36" xr:uid="{E51E2E91-835A-45DA-ADEB-CC93E7DDCA3D}">
  <cacheSource type="worksheet">
    <worksheetSource name="Table1"/>
  </cacheSource>
  <cacheFields count="20">
    <cacheField name="Trans ID" numFmtId="0">
      <sharedItems count="36">
        <s v="1OO1"/>
        <s v="1OO2"/>
        <s v="1OO3"/>
        <s v="1OO4"/>
        <s v="1OO5"/>
        <s v="1OO6"/>
        <s v="1OO7"/>
        <s v="1OO8"/>
        <s v="1OO9"/>
        <s v="1O1O"/>
        <s v="1O11 "/>
        <s v="1O12"/>
        <s v="1O13"/>
        <s v="1O14"/>
        <s v="1O15"/>
        <s v="1O16"/>
        <s v="1O17"/>
        <s v="1O18"/>
        <s v="1O19"/>
        <s v="1O2O"/>
        <s v="1O21"/>
        <s v="1O22"/>
        <s v="1O23"/>
        <s v="1O24"/>
        <s v="1O25"/>
        <s v="1O26"/>
        <s v="1O27"/>
        <s v="1O28"/>
        <s v="1O29"/>
        <s v="1O3O"/>
        <s v="1O31"/>
        <s v="1O32"/>
        <s v="1O33"/>
        <s v="1O34"/>
        <s v="1O35"/>
        <s v="1O36"/>
      </sharedItems>
    </cacheField>
    <cacheField name="Date" numFmtId="164">
      <sharedItems containsSemiMixedTypes="0" containsNonDate="0" containsDate="1" containsString="0" minDate="2025-01-15T00:00:00" maxDate="2025-12-26T00:00:00"/>
    </cacheField>
    <cacheField name="Year" numFmtId="164">
      <sharedItems containsSemiMixedTypes="0" containsNonDate="0" containsDate="1" containsString="0" minDate="1905-07-17T00:00:00" maxDate="1905-07-18T00:00:00"/>
    </cacheField>
    <cacheField name="Month" numFmtId="164">
      <sharedItems count="12">
        <s v="Jan"/>
        <s v="Feb"/>
        <s v="Mar"/>
        <s v="Apr"/>
        <s v="May"/>
        <s v="Jun"/>
        <s v="Jul"/>
        <s v="Aug"/>
        <s v="Sep"/>
        <s v="Oct"/>
        <s v="Nov"/>
        <s v="Dec"/>
      </sharedItems>
    </cacheField>
    <cacheField name="Quarter" numFmtId="164">
      <sharedItems count="4">
        <s v="Q1"/>
        <s v="Q2"/>
        <s v="Q3"/>
        <s v="Q4"/>
      </sharedItems>
    </cacheField>
    <cacheField name="Store ID" numFmtId="0">
      <sharedItems count="15">
        <s v="S01"/>
        <s v="S02"/>
        <s v="S03"/>
        <s v="S04"/>
        <s v="S05"/>
        <s v="S06"/>
        <s v="S07"/>
        <s v="S08"/>
        <s v="S09"/>
        <s v="S10"/>
        <s v="S11 "/>
        <s v="S12"/>
        <s v="S13"/>
        <s v="S14"/>
        <s v="S15"/>
      </sharedItems>
    </cacheField>
    <cacheField name="Store Name Clean" numFmtId="0">
      <sharedItems count="15">
        <s v="Mega Lagos"/>
        <s v="Mega Abuja"/>
        <s v="Mega Ph"/>
        <s v="Mega Kano"/>
        <s v="Mega Ibadan"/>
        <s v="Mega Benin"/>
        <s v="Mega Enugu"/>
        <s v="Mega Ilorin"/>
        <s v="Mega Abeokuta"/>
        <s v="Mega Jos"/>
        <s v="Mega Kaduna"/>
        <s v="Mega Warri"/>
        <s v="Mega Calabar"/>
        <s v="Mega Maiduguri"/>
        <s v="Mega Sokoto"/>
      </sharedItems>
    </cacheField>
    <cacheField name="Location Clean" numFmtId="0">
      <sharedItems/>
    </cacheField>
    <cacheField name="State Clean" numFmtId="0">
      <sharedItems/>
    </cacheField>
    <cacheField name="Region" numFmtId="0">
      <sharedItems count="4">
        <s v="West"/>
        <s v="North"/>
        <s v="South"/>
        <s v="East"/>
      </sharedItems>
    </cacheField>
    <cacheField name="Salesperson Clean" numFmtId="0">
      <sharedItems count="16">
        <s v="John Doe"/>
        <s v="Jane Smith"/>
        <s v="Peter Obi"/>
        <s v="Mary Johnson"/>
        <s v="David Kay"/>
        <s v="Sarah Ade"/>
        <s v="Mark Thomas"/>
        <s v="Grace Ngozi"/>
        <s v="Sunday Okafor"/>
        <s v="Tunde Bello"/>
        <s v="Emeka Chidi"/>
        <s v="Zainab Mohammed"/>
        <s v="Chidi Eze"/>
        <s v="Inyang Akpan"/>
        <s v="Ibrahim Kano"/>
        <s v="Halima Bello"/>
      </sharedItems>
    </cacheField>
    <cacheField name="Category" numFmtId="0">
      <sharedItems count="3">
        <s v="Electronics"/>
        <s v="Clothing"/>
        <s v="Grocery"/>
      </sharedItems>
    </cacheField>
    <cacheField name="Product" numFmtId="0">
      <sharedItems count="8">
        <s v="Laptop"/>
        <s v="Shirt"/>
        <s v="Rice"/>
        <s v="Phone"/>
        <s v="Jeans"/>
        <s v="Beans"/>
        <s v="Dress"/>
        <s v="Oil"/>
      </sharedItems>
    </cacheField>
    <cacheField name="Price" numFmtId="0">
      <sharedItems containsSemiMixedTypes="0" containsString="0" containsNumber="1" containsInteger="1" minValue="25" maxValue="850"/>
    </cacheField>
    <cacheField name="Qty" numFmtId="0">
      <sharedItems containsSemiMixedTypes="0" containsString="0" containsNumber="1" containsInteger="1" minValue="2" maxValue="50"/>
    </cacheField>
    <cacheField name="Disc" numFmtId="0">
      <sharedItems containsSemiMixedTypes="0" containsString="0" containsNumber="1" containsInteger="1" minValue="0" maxValue="15"/>
    </cacheField>
    <cacheField name="Total Amount" numFmtId="165">
      <sharedItems containsSemiMixedTypes="0" containsString="0" containsNumber="1" minValue="315" maxValue="5780"/>
    </cacheField>
    <cacheField name="Payment" numFmtId="0">
      <sharedItems count="3">
        <s v="Cash"/>
        <s v="Card"/>
        <s v="Bank Transfer"/>
      </sharedItems>
    </cacheField>
    <cacheField name="Age" numFmtId="0">
      <sharedItems containsSemiMixedTypes="0" containsString="0" containsNumber="1" containsInteger="1" minValue="26" maxValue="53" count="23">
        <n v="34"/>
        <n v="28"/>
        <n v="45"/>
        <n v="32"/>
        <n v="38"/>
        <n v="41"/>
        <n v="29"/>
        <n v="52"/>
        <n v="27"/>
        <n v="33"/>
        <n v="43"/>
        <n v="36"/>
        <n v="31"/>
        <n v="48"/>
        <n v="26"/>
        <n v="42"/>
        <n v="39"/>
        <n v="44"/>
        <n v="53"/>
        <n v="30"/>
        <n v="47"/>
        <n v="35"/>
        <n v="46"/>
      </sharedItems>
      <fieldGroup base="18">
        <rangePr autoStart="0" autoEnd="0" startNum="18" endNum="70" groupInterval="5"/>
        <groupItems count="13">
          <s v="&lt;18"/>
          <s v="18-22"/>
          <s v="23-27"/>
          <s v="28-32"/>
          <s v="33-37"/>
          <s v="38-42"/>
          <s v="43-47"/>
          <s v="48-52"/>
          <s v="53-57"/>
          <s v="58-62"/>
          <s v="63-67"/>
          <s v="68-72"/>
          <s v="&gt;73"/>
        </groupItems>
      </fieldGroup>
    </cacheField>
    <cacheField name="Avg Transaction Value" numFmtId="0" formula="'Total Amount'/'Trans ID'" databaseField="0"/>
  </cacheFields>
  <extLst>
    <ext xmlns:x14="http://schemas.microsoft.com/office/spreadsheetml/2009/9/main" uri="{725AE2AE-9491-48be-B2B4-4EB974FC3084}">
      <x14:pivotCacheDefinition pivotCacheId="1832740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d v="2025-01-15T00:00:00"/>
    <d v="1905-07-17T00:00:00"/>
    <x v="0"/>
    <x v="0"/>
    <x v="0"/>
    <x v="0"/>
    <s v="Lagos"/>
    <s v="Lagos State"/>
    <x v="0"/>
    <x v="0"/>
    <x v="0"/>
    <x v="0"/>
    <n v="850"/>
    <n v="3"/>
    <n v="0"/>
    <n v="2550"/>
    <x v="0"/>
    <x v="0"/>
  </r>
  <r>
    <x v="1"/>
    <d v="2025-01-20T00:00:00"/>
    <d v="1905-07-17T00:00:00"/>
    <x v="0"/>
    <x v="0"/>
    <x v="1"/>
    <x v="1"/>
    <s v="Abuja"/>
    <s v="Federal Capital Territory"/>
    <x v="1"/>
    <x v="1"/>
    <x v="1"/>
    <x v="1"/>
    <n v="35"/>
    <n v="10"/>
    <n v="10"/>
    <n v="315"/>
    <x v="1"/>
    <x v="1"/>
  </r>
  <r>
    <x v="2"/>
    <d v="2025-01-25T00:00:00"/>
    <d v="1905-07-17T00:00:00"/>
    <x v="0"/>
    <x v="0"/>
    <x v="2"/>
    <x v="2"/>
    <s v="Ph"/>
    <s v="Rivers State"/>
    <x v="2"/>
    <x v="2"/>
    <x v="2"/>
    <x v="2"/>
    <n v="40"/>
    <n v="20"/>
    <n v="0"/>
    <n v="800"/>
    <x v="2"/>
    <x v="2"/>
  </r>
  <r>
    <x v="3"/>
    <d v="2025-02-02T00:00:00"/>
    <d v="1905-07-17T00:00:00"/>
    <x v="1"/>
    <x v="0"/>
    <x v="0"/>
    <x v="0"/>
    <s v="Lagos"/>
    <s v="Lagos State"/>
    <x v="0"/>
    <x v="3"/>
    <x v="0"/>
    <x v="3"/>
    <n v="650"/>
    <n v="2"/>
    <n v="5"/>
    <n v="1235"/>
    <x v="0"/>
    <x v="0"/>
  </r>
  <r>
    <x v="4"/>
    <d v="2025-02-10T00:00:00"/>
    <d v="1905-07-17T00:00:00"/>
    <x v="1"/>
    <x v="0"/>
    <x v="3"/>
    <x v="3"/>
    <s v="Kano"/>
    <s v="Kano State"/>
    <x v="1"/>
    <x v="4"/>
    <x v="1"/>
    <x v="4"/>
    <n v="45"/>
    <n v="15"/>
    <n v="0"/>
    <n v="675"/>
    <x v="1"/>
    <x v="3"/>
  </r>
  <r>
    <x v="5"/>
    <d v="2025-02-15T00:00:00"/>
    <d v="1905-07-17T00:00:00"/>
    <x v="1"/>
    <x v="0"/>
    <x v="4"/>
    <x v="4"/>
    <s v="Ibadan"/>
    <s v="Oyo State"/>
    <x v="0"/>
    <x v="5"/>
    <x v="2"/>
    <x v="5"/>
    <n v="30"/>
    <n v="30"/>
    <n v="0"/>
    <n v="900"/>
    <x v="2"/>
    <x v="4"/>
  </r>
  <r>
    <x v="6"/>
    <d v="2025-03-01T00:00:00"/>
    <d v="1905-07-17T00:00:00"/>
    <x v="2"/>
    <x v="0"/>
    <x v="1"/>
    <x v="1"/>
    <s v="Abuja"/>
    <s v="Federal Capital Territory"/>
    <x v="1"/>
    <x v="1"/>
    <x v="0"/>
    <x v="0"/>
    <n v="850"/>
    <n v="4"/>
    <n v="10"/>
    <n v="3060"/>
    <x v="0"/>
    <x v="5"/>
  </r>
  <r>
    <x v="7"/>
    <d v="2025-03-10T00:00:00"/>
    <d v="1905-07-17T00:00:00"/>
    <x v="2"/>
    <x v="0"/>
    <x v="5"/>
    <x v="5"/>
    <s v="Benin"/>
    <s v="Edo State"/>
    <x v="2"/>
    <x v="6"/>
    <x v="1"/>
    <x v="6"/>
    <n v="55"/>
    <n v="8"/>
    <n v="0"/>
    <n v="440"/>
    <x v="0"/>
    <x v="6"/>
  </r>
  <r>
    <x v="8"/>
    <d v="2025-03-20T00:00:00"/>
    <d v="1905-07-17T00:00:00"/>
    <x v="2"/>
    <x v="0"/>
    <x v="2"/>
    <x v="2"/>
    <s v="Ph"/>
    <s v="Rivers State"/>
    <x v="2"/>
    <x v="2"/>
    <x v="2"/>
    <x v="7"/>
    <n v="25"/>
    <n v="40"/>
    <n v="0"/>
    <n v="1000"/>
    <x v="1"/>
    <x v="7"/>
  </r>
  <r>
    <x v="9"/>
    <d v="2025-04-05T00:00:00"/>
    <d v="1905-07-17T00:00:00"/>
    <x v="3"/>
    <x v="1"/>
    <x v="6"/>
    <x v="6"/>
    <s v="Enugu"/>
    <s v="Enugu State"/>
    <x v="3"/>
    <x v="7"/>
    <x v="0"/>
    <x v="0"/>
    <n v="850"/>
    <n v="2"/>
    <n v="0"/>
    <n v="1700"/>
    <x v="2"/>
    <x v="5"/>
  </r>
  <r>
    <x v="10"/>
    <d v="2025-04-15T00:00:00"/>
    <d v="1905-07-17T00:00:00"/>
    <x v="3"/>
    <x v="1"/>
    <x v="0"/>
    <x v="0"/>
    <s v="Lagos"/>
    <s v="Lagos State"/>
    <x v="0"/>
    <x v="0"/>
    <x v="1"/>
    <x v="1"/>
    <n v="35"/>
    <n v="20"/>
    <n v="5"/>
    <n v="665"/>
    <x v="0"/>
    <x v="8"/>
  </r>
  <r>
    <x v="11"/>
    <d v="2025-04-25T00:00:00"/>
    <d v="1905-07-17T00:00:00"/>
    <x v="3"/>
    <x v="1"/>
    <x v="7"/>
    <x v="7"/>
    <s v="Ilorin"/>
    <s v="Kwara State"/>
    <x v="0"/>
    <x v="8"/>
    <x v="2"/>
    <x v="2"/>
    <n v="40"/>
    <n v="25"/>
    <n v="0"/>
    <n v="1000"/>
    <x v="1"/>
    <x v="7"/>
  </r>
  <r>
    <x v="12"/>
    <d v="2025-05-01T00:00:00"/>
    <d v="1905-07-17T00:00:00"/>
    <x v="4"/>
    <x v="1"/>
    <x v="3"/>
    <x v="3"/>
    <s v="Kano"/>
    <s v="Kano State"/>
    <x v="1"/>
    <x v="4"/>
    <x v="0"/>
    <x v="3"/>
    <n v="650"/>
    <n v="3"/>
    <n v="0"/>
    <n v="1950"/>
    <x v="0"/>
    <x v="9"/>
  </r>
  <r>
    <x v="13"/>
    <d v="2025-05-15T00:00:00"/>
    <d v="1905-07-17T00:00:00"/>
    <x v="4"/>
    <x v="1"/>
    <x v="8"/>
    <x v="8"/>
    <s v="Abeokuta"/>
    <s v="Ogun State"/>
    <x v="0"/>
    <x v="9"/>
    <x v="1"/>
    <x v="4"/>
    <n v="45"/>
    <n v="12"/>
    <n v="0"/>
    <n v="540"/>
    <x v="2"/>
    <x v="8"/>
  </r>
  <r>
    <x v="14"/>
    <d v="2025-05-25T00:00:00"/>
    <d v="1905-07-17T00:00:00"/>
    <x v="4"/>
    <x v="1"/>
    <x v="1"/>
    <x v="1"/>
    <s v="Abuja"/>
    <s v="Federal Capital Territory"/>
    <x v="1"/>
    <x v="1"/>
    <x v="2"/>
    <x v="5"/>
    <n v="30"/>
    <n v="35"/>
    <n v="0"/>
    <n v="1050"/>
    <x v="0"/>
    <x v="10"/>
  </r>
  <r>
    <x v="15"/>
    <d v="2025-06-01T00:00:00"/>
    <d v="1905-07-17T00:00:00"/>
    <x v="5"/>
    <x v="1"/>
    <x v="9"/>
    <x v="9"/>
    <s v="Jos"/>
    <s v="Plateau State"/>
    <x v="1"/>
    <x v="10"/>
    <x v="0"/>
    <x v="0"/>
    <n v="850"/>
    <n v="5"/>
    <n v="10"/>
    <n v="3825"/>
    <x v="1"/>
    <x v="11"/>
  </r>
  <r>
    <x v="16"/>
    <d v="2025-06-15T00:00:00"/>
    <d v="1905-07-17T00:00:00"/>
    <x v="5"/>
    <x v="1"/>
    <x v="4"/>
    <x v="4"/>
    <s v="Ibadan"/>
    <s v="Oyo State"/>
    <x v="0"/>
    <x v="5"/>
    <x v="1"/>
    <x v="6"/>
    <n v="55"/>
    <n v="6"/>
    <n v="0"/>
    <n v="330"/>
    <x v="0"/>
    <x v="12"/>
  </r>
  <r>
    <x v="17"/>
    <d v="2025-06-25T00:00:00"/>
    <d v="1905-07-17T00:00:00"/>
    <x v="5"/>
    <x v="1"/>
    <x v="2"/>
    <x v="2"/>
    <s v="Ph"/>
    <s v="Rivers State"/>
    <x v="2"/>
    <x v="2"/>
    <x v="2"/>
    <x v="7"/>
    <n v="25"/>
    <n v="50"/>
    <n v="0"/>
    <n v="1250"/>
    <x v="2"/>
    <x v="13"/>
  </r>
  <r>
    <x v="18"/>
    <d v="2025-07-01T00:00:00"/>
    <d v="1905-07-17T00:00:00"/>
    <x v="6"/>
    <x v="2"/>
    <x v="10"/>
    <x v="10"/>
    <s v="Kaduna"/>
    <s v="Kaduna State"/>
    <x v="1"/>
    <x v="11"/>
    <x v="0"/>
    <x v="3"/>
    <n v="650"/>
    <n v="4"/>
    <n v="5"/>
    <n v="2470"/>
    <x v="0"/>
    <x v="11"/>
  </r>
  <r>
    <x v="19"/>
    <d v="2025-07-15T00:00:00"/>
    <d v="1905-07-17T00:00:00"/>
    <x v="6"/>
    <x v="2"/>
    <x v="0"/>
    <x v="0"/>
    <s v="Lagos"/>
    <s v="Lagos State"/>
    <x v="0"/>
    <x v="0"/>
    <x v="1"/>
    <x v="1"/>
    <n v="35"/>
    <n v="25"/>
    <n v="0"/>
    <n v="875"/>
    <x v="1"/>
    <x v="14"/>
  </r>
  <r>
    <x v="20"/>
    <d v="2025-07-25T00:00:00"/>
    <d v="1905-07-17T00:00:00"/>
    <x v="6"/>
    <x v="2"/>
    <x v="11"/>
    <x v="11"/>
    <s v="Warri"/>
    <s v="Delta State"/>
    <x v="2"/>
    <x v="12"/>
    <x v="2"/>
    <x v="2"/>
    <n v="40"/>
    <n v="30"/>
    <n v="0"/>
    <n v="1200"/>
    <x v="0"/>
    <x v="15"/>
  </r>
  <r>
    <x v="21"/>
    <d v="2025-08-01T00:00:00"/>
    <d v="1905-07-17T00:00:00"/>
    <x v="7"/>
    <x v="2"/>
    <x v="5"/>
    <x v="5"/>
    <s v="Benin"/>
    <s v="Edo State"/>
    <x v="2"/>
    <x v="6"/>
    <x v="0"/>
    <x v="0"/>
    <n v="850"/>
    <n v="3"/>
    <n v="0"/>
    <n v="2550"/>
    <x v="2"/>
    <x v="16"/>
  </r>
  <r>
    <x v="22"/>
    <d v="2025-08-15T00:00:00"/>
    <d v="1905-07-17T00:00:00"/>
    <x v="7"/>
    <x v="2"/>
    <x v="12"/>
    <x v="12"/>
    <s v="Calabar"/>
    <s v="Cross River State"/>
    <x v="2"/>
    <x v="13"/>
    <x v="1"/>
    <x v="4"/>
    <n v="45"/>
    <n v="18"/>
    <n v="0"/>
    <n v="810"/>
    <x v="0"/>
    <x v="14"/>
  </r>
  <r>
    <x v="23"/>
    <d v="2025-08-25T00:00:00"/>
    <d v="1905-07-17T00:00:00"/>
    <x v="7"/>
    <x v="2"/>
    <x v="1"/>
    <x v="1"/>
    <s v="Abuja"/>
    <s v="Federal Capital Territory"/>
    <x v="1"/>
    <x v="1"/>
    <x v="2"/>
    <x v="5"/>
    <n v="30"/>
    <n v="40"/>
    <n v="0"/>
    <n v="1200"/>
    <x v="0"/>
    <x v="17"/>
  </r>
  <r>
    <x v="24"/>
    <d v="2025-09-01T00:00:00"/>
    <d v="1905-07-17T00:00:00"/>
    <x v="8"/>
    <x v="2"/>
    <x v="13"/>
    <x v="13"/>
    <s v="Maiduguri"/>
    <s v="Borno State"/>
    <x v="1"/>
    <x v="14"/>
    <x v="0"/>
    <x v="0"/>
    <n v="850"/>
    <n v="2"/>
    <n v="10"/>
    <n v="1530"/>
    <x v="1"/>
    <x v="16"/>
  </r>
  <r>
    <x v="25"/>
    <d v="2025-09-15T00:00:00"/>
    <d v="1905-07-17T00:00:00"/>
    <x v="8"/>
    <x v="2"/>
    <x v="6"/>
    <x v="6"/>
    <s v="Enugu"/>
    <s v="Enugu State"/>
    <x v="3"/>
    <x v="7"/>
    <x v="1"/>
    <x v="6"/>
    <n v="55"/>
    <n v="10"/>
    <n v="0"/>
    <n v="550"/>
    <x v="2"/>
    <x v="0"/>
  </r>
  <r>
    <x v="26"/>
    <d v="2025-09-25T00:00:00"/>
    <d v="1905-07-17T00:00:00"/>
    <x v="8"/>
    <x v="2"/>
    <x v="14"/>
    <x v="14"/>
    <s v="Sokoto"/>
    <s v="Sokoto State"/>
    <x v="1"/>
    <x v="15"/>
    <x v="2"/>
    <x v="7"/>
    <n v="25"/>
    <n v="45"/>
    <n v="0"/>
    <n v="1125"/>
    <x v="0"/>
    <x v="18"/>
  </r>
  <r>
    <x v="27"/>
    <d v="2025-10-01T00:00:00"/>
    <d v="1905-07-17T00:00:00"/>
    <x v="9"/>
    <x v="3"/>
    <x v="0"/>
    <x v="0"/>
    <s v="Lagos"/>
    <s v="Lagos State"/>
    <x v="0"/>
    <x v="0"/>
    <x v="0"/>
    <x v="3"/>
    <n v="650"/>
    <n v="5"/>
    <n v="5"/>
    <n v="3087.5"/>
    <x v="0"/>
    <x v="1"/>
  </r>
  <r>
    <x v="28"/>
    <d v="2025-10-15T00:00:00"/>
    <d v="1905-07-17T00:00:00"/>
    <x v="9"/>
    <x v="3"/>
    <x v="7"/>
    <x v="7"/>
    <s v="Ilorin"/>
    <s v="Kwara State"/>
    <x v="0"/>
    <x v="8"/>
    <x v="1"/>
    <x v="1"/>
    <n v="35"/>
    <n v="30"/>
    <n v="0"/>
    <n v="1050"/>
    <x v="1"/>
    <x v="19"/>
  </r>
  <r>
    <x v="29"/>
    <d v="2025-10-25T00:00:00"/>
    <d v="1905-07-17T00:00:00"/>
    <x v="9"/>
    <x v="3"/>
    <x v="2"/>
    <x v="2"/>
    <s v="Ph"/>
    <s v="Rivers State"/>
    <x v="2"/>
    <x v="2"/>
    <x v="2"/>
    <x v="2"/>
    <n v="40"/>
    <n v="35"/>
    <n v="0"/>
    <n v="1400"/>
    <x v="2"/>
    <x v="20"/>
  </r>
  <r>
    <x v="30"/>
    <d v="2025-11-01T00:00:00"/>
    <d v="1905-07-17T00:00:00"/>
    <x v="10"/>
    <x v="3"/>
    <x v="9"/>
    <x v="9"/>
    <s v="Jos"/>
    <s v="Plateau State"/>
    <x v="1"/>
    <x v="10"/>
    <x v="0"/>
    <x v="0"/>
    <n v="850"/>
    <n v="6"/>
    <n v="10"/>
    <n v="4590"/>
    <x v="0"/>
    <x v="1"/>
  </r>
  <r>
    <x v="31"/>
    <d v="2025-11-15T00:00:00"/>
    <d v="1905-07-17T00:00:00"/>
    <x v="10"/>
    <x v="3"/>
    <x v="3"/>
    <x v="3"/>
    <s v="Kano"/>
    <s v="Kano State"/>
    <x v="1"/>
    <x v="4"/>
    <x v="1"/>
    <x v="4"/>
    <n v="45"/>
    <n v="20"/>
    <n v="0"/>
    <n v="900"/>
    <x v="0"/>
    <x v="21"/>
  </r>
  <r>
    <x v="32"/>
    <d v="2025-11-25T00:00:00"/>
    <d v="1905-07-17T00:00:00"/>
    <x v="10"/>
    <x v="3"/>
    <x v="8"/>
    <x v="8"/>
    <s v="Abeokuta"/>
    <s v="Ogun State"/>
    <x v="0"/>
    <x v="9"/>
    <x v="2"/>
    <x v="5"/>
    <n v="30"/>
    <n v="50"/>
    <n v="0"/>
    <n v="1500"/>
    <x v="1"/>
    <x v="5"/>
  </r>
  <r>
    <x v="33"/>
    <d v="2025-12-01T00:00:00"/>
    <d v="1905-07-17T00:00:00"/>
    <x v="11"/>
    <x v="3"/>
    <x v="1"/>
    <x v="1"/>
    <s v="Abuja"/>
    <s v="Federal Capital Territory"/>
    <x v="1"/>
    <x v="1"/>
    <x v="0"/>
    <x v="0"/>
    <n v="850"/>
    <n v="8"/>
    <n v="15"/>
    <n v="5780"/>
    <x v="2"/>
    <x v="1"/>
  </r>
  <r>
    <x v="34"/>
    <d v="2025-12-15T00:00:00"/>
    <d v="1905-07-17T00:00:00"/>
    <x v="11"/>
    <x v="3"/>
    <x v="4"/>
    <x v="4"/>
    <s v="Ibadan"/>
    <s v="Oyo State"/>
    <x v="0"/>
    <x v="5"/>
    <x v="1"/>
    <x v="6"/>
    <n v="55"/>
    <n v="12"/>
    <n v="0"/>
    <n v="660"/>
    <x v="0"/>
    <x v="3"/>
  </r>
  <r>
    <x v="35"/>
    <d v="2025-12-25T00:00:00"/>
    <d v="1905-07-17T00:00:00"/>
    <x v="11"/>
    <x v="3"/>
    <x v="0"/>
    <x v="0"/>
    <s v="Lagos"/>
    <s v="Lagos State"/>
    <x v="0"/>
    <x v="0"/>
    <x v="2"/>
    <x v="2"/>
    <n v="40"/>
    <n v="40"/>
    <n v="0"/>
    <n v="1600"/>
    <x v="0"/>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6C45D6-0A1D-43EF-827A-D6C77E8F83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6:G42" firstHeaderRow="0" firstDataRow="1" firstDataCol="1"/>
  <pivotFields count="20">
    <pivotField showAll="0"/>
    <pivotField numFmtId="164" showAll="0"/>
    <pivotField numFmtId="164" showAll="0"/>
    <pivotField showAll="0"/>
    <pivotField showAll="0"/>
    <pivotField showAll="0">
      <items count="16">
        <item x="0"/>
        <item x="1"/>
        <item x="2"/>
        <item x="3"/>
        <item x="4"/>
        <item x="5"/>
        <item x="6"/>
        <item x="7"/>
        <item x="8"/>
        <item x="9"/>
        <item x="10"/>
        <item x="11"/>
        <item x="12"/>
        <item x="13"/>
        <item x="14"/>
        <item t="default"/>
      </items>
    </pivotField>
    <pivotField axis="axisRow" showAll="0" sortType="descending">
      <items count="16">
        <item x="8"/>
        <item x="1"/>
        <item x="5"/>
        <item x="12"/>
        <item x="6"/>
        <item x="4"/>
        <item x="7"/>
        <item x="9"/>
        <item x="10"/>
        <item x="3"/>
        <item x="0"/>
        <item x="13"/>
        <item x="2"/>
        <item x="14"/>
        <item x="1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1"/>
        <item x="2"/>
        <item x="0"/>
        <item t="default"/>
      </items>
    </pivotField>
    <pivotField showAll="0"/>
    <pivotField showAll="0">
      <items count="4">
        <item x="1"/>
        <item x="0"/>
        <item x="2"/>
        <item t="default"/>
      </items>
    </pivotField>
    <pivotField showAll="0">
      <items count="9">
        <item x="5"/>
        <item x="6"/>
        <item x="4"/>
        <item x="0"/>
        <item x="7"/>
        <item x="3"/>
        <item x="2"/>
        <item x="1"/>
        <item t="default"/>
      </items>
    </pivotField>
    <pivotField showAll="0"/>
    <pivotField dataField="1" showAll="0"/>
    <pivotField showAll="0"/>
    <pivotField dataField="1" numFmtId="165" showAll="0"/>
    <pivotField showAll="0">
      <items count="4">
        <item x="2"/>
        <item x="1"/>
        <item x="0"/>
        <item t="default"/>
      </items>
    </pivotField>
    <pivotField showAll="0">
      <items count="14">
        <item x="0"/>
        <item x="1"/>
        <item x="2"/>
        <item x="3"/>
        <item x="4"/>
        <item x="5"/>
        <item x="6"/>
        <item x="7"/>
        <item x="8"/>
        <item x="9"/>
        <item x="10"/>
        <item x="11"/>
        <item x="12"/>
        <item t="default"/>
      </items>
    </pivotField>
    <pivotField dragToRow="0" dragToCol="0" dragToPage="0" showAll="0" defaultSubtotal="0"/>
  </pivotFields>
  <rowFields count="1">
    <field x="6"/>
  </rowFields>
  <rowItems count="16">
    <i>
      <x v="1"/>
    </i>
    <i>
      <x v="10"/>
    </i>
    <i>
      <x v="7"/>
    </i>
    <i>
      <x v="12"/>
    </i>
    <i>
      <x v="9"/>
    </i>
    <i>
      <x v="2"/>
    </i>
    <i>
      <x v="8"/>
    </i>
    <i>
      <x v="4"/>
    </i>
    <i>
      <x v="6"/>
    </i>
    <i>
      <x/>
    </i>
    <i>
      <x v="5"/>
    </i>
    <i>
      <x v="11"/>
    </i>
    <i>
      <x v="14"/>
    </i>
    <i>
      <x v="13"/>
    </i>
    <i>
      <x v="3"/>
    </i>
    <i t="grand">
      <x/>
    </i>
  </rowItems>
  <colFields count="1">
    <field x="-2"/>
  </colFields>
  <colItems count="2">
    <i>
      <x/>
    </i>
    <i i="1">
      <x v="1"/>
    </i>
  </colItems>
  <dataFields count="2">
    <dataField name="Sum of Total Amount" fld="16" baseField="0" baseItem="0" numFmtId="165"/>
    <dataField name="Sum of Qty" fld="14" baseField="0" baseItem="0"/>
  </dataFields>
  <conditionalFormats count="1">
    <conditionalFormat priority="1">
      <pivotAreas count="1">
        <pivotArea type="data" collapsedLevelsAreSubtotals="1" fieldPosition="0">
          <references count="2">
            <reference field="4294967294" count="1" selected="0">
              <x v="0"/>
            </reference>
            <reference field="6" count="15">
              <x v="0"/>
              <x v="1"/>
              <x v="2"/>
              <x v="3"/>
              <x v="4"/>
              <x v="5"/>
              <x v="6"/>
              <x v="7"/>
              <x v="8"/>
              <x v="9"/>
              <x v="10"/>
              <x v="11"/>
              <x v="12"/>
              <x v="13"/>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7407EE-9F3A-4489-9114-869B4147A6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C69" firstHeaderRow="0" firstDataRow="1" firstDataCol="1"/>
  <pivotFields count="20">
    <pivotField axis="axisRow" dataField="1" showAll="0">
      <items count="37">
        <item x="10"/>
        <item x="11"/>
        <item x="12"/>
        <item x="13"/>
        <item x="14"/>
        <item x="15"/>
        <item x="16"/>
        <item x="17"/>
        <item x="18"/>
        <item x="9"/>
        <item x="20"/>
        <item x="21"/>
        <item x="22"/>
        <item x="23"/>
        <item x="24"/>
        <item x="25"/>
        <item x="26"/>
        <item x="27"/>
        <item x="28"/>
        <item x="19"/>
        <item x="30"/>
        <item x="31"/>
        <item x="32"/>
        <item x="33"/>
        <item x="34"/>
        <item x="35"/>
        <item x="29"/>
        <item x="0"/>
        <item x="1"/>
        <item x="2"/>
        <item x="3"/>
        <item x="4"/>
        <item x="5"/>
        <item x="6"/>
        <item x="7"/>
        <item x="8"/>
        <item t="default"/>
      </items>
    </pivotField>
    <pivotField numFmtId="164" showAll="0"/>
    <pivotField numFmtId="164" showAll="0"/>
    <pivotField showAll="0"/>
    <pivotField showAll="0"/>
    <pivotField showAll="0"/>
    <pivotField showAll="0">
      <items count="16">
        <item x="8"/>
        <item x="1"/>
        <item x="5"/>
        <item x="12"/>
        <item x="6"/>
        <item x="4"/>
        <item x="7"/>
        <item x="9"/>
        <item x="10"/>
        <item x="3"/>
        <item x="0"/>
        <item x="13"/>
        <item x="2"/>
        <item x="14"/>
        <item x="11"/>
        <item t="default"/>
      </items>
    </pivotField>
    <pivotField showAll="0"/>
    <pivotField showAll="0"/>
    <pivotField showAll="0">
      <items count="5">
        <item x="3"/>
        <item x="1"/>
        <item x="2"/>
        <item x="0"/>
        <item t="default"/>
      </items>
    </pivotField>
    <pivotField showAll="0"/>
    <pivotField axis="axisRow" showAll="0">
      <items count="4">
        <item x="1"/>
        <item x="0"/>
        <item x="2"/>
        <item t="default"/>
      </items>
    </pivotField>
    <pivotField axis="axisRow" showAll="0">
      <items count="9">
        <item x="5"/>
        <item x="6"/>
        <item x="4"/>
        <item x="0"/>
        <item x="7"/>
        <item x="3"/>
        <item x="2"/>
        <item x="1"/>
        <item t="default"/>
      </items>
    </pivotField>
    <pivotField showAll="0"/>
    <pivotField showAll="0"/>
    <pivotField showAll="0"/>
    <pivotField dataField="1" numFmtId="165" showAll="0"/>
    <pivotField showAll="0">
      <items count="4">
        <item x="2"/>
        <item x="1"/>
        <item x="0"/>
        <item t="default"/>
      </items>
    </pivotField>
    <pivotField showAll="0">
      <items count="14">
        <item x="0"/>
        <item x="1"/>
        <item x="2"/>
        <item x="3"/>
        <item x="4"/>
        <item x="5"/>
        <item x="6"/>
        <item x="7"/>
        <item x="8"/>
        <item x="9"/>
        <item x="10"/>
        <item x="11"/>
        <item x="12"/>
        <item t="default"/>
      </items>
    </pivotField>
    <pivotField dragToRow="0" dragToCol="0" dragToPage="0" showAll="0" defaultSubtotal="0"/>
  </pivotFields>
  <rowFields count="3">
    <field x="12"/>
    <field x="11"/>
    <field x="0"/>
  </rowFields>
  <rowItems count="53">
    <i>
      <x/>
    </i>
    <i r="1">
      <x v="2"/>
    </i>
    <i r="2">
      <x v="4"/>
    </i>
    <i r="2">
      <x v="13"/>
    </i>
    <i r="2">
      <x v="22"/>
    </i>
    <i r="2">
      <x v="32"/>
    </i>
    <i>
      <x v="1"/>
    </i>
    <i r="1">
      <x/>
    </i>
    <i r="2">
      <x v="6"/>
    </i>
    <i r="2">
      <x v="15"/>
    </i>
    <i r="2">
      <x v="24"/>
    </i>
    <i r="2">
      <x v="34"/>
    </i>
    <i>
      <x v="2"/>
    </i>
    <i r="1">
      <x/>
    </i>
    <i r="2">
      <x v="3"/>
    </i>
    <i r="2">
      <x v="12"/>
    </i>
    <i r="2">
      <x v="21"/>
    </i>
    <i r="2">
      <x v="31"/>
    </i>
    <i>
      <x v="3"/>
    </i>
    <i r="1">
      <x v="1"/>
    </i>
    <i r="2">
      <x v="5"/>
    </i>
    <i r="2">
      <x v="9"/>
    </i>
    <i r="2">
      <x v="11"/>
    </i>
    <i r="2">
      <x v="14"/>
    </i>
    <i r="2">
      <x v="20"/>
    </i>
    <i r="2">
      <x v="23"/>
    </i>
    <i r="2">
      <x v="27"/>
    </i>
    <i r="2">
      <x v="33"/>
    </i>
    <i>
      <x v="4"/>
    </i>
    <i r="1">
      <x v="2"/>
    </i>
    <i r="2">
      <x v="7"/>
    </i>
    <i r="2">
      <x v="16"/>
    </i>
    <i r="2">
      <x v="35"/>
    </i>
    <i>
      <x v="5"/>
    </i>
    <i r="1">
      <x v="1"/>
    </i>
    <i r="2">
      <x v="2"/>
    </i>
    <i r="2">
      <x v="8"/>
    </i>
    <i r="2">
      <x v="17"/>
    </i>
    <i r="2">
      <x v="30"/>
    </i>
    <i>
      <x v="6"/>
    </i>
    <i r="1">
      <x v="2"/>
    </i>
    <i r="2">
      <x v="1"/>
    </i>
    <i r="2">
      <x v="10"/>
    </i>
    <i r="2">
      <x v="25"/>
    </i>
    <i r="2">
      <x v="26"/>
    </i>
    <i r="2">
      <x v="29"/>
    </i>
    <i>
      <x v="7"/>
    </i>
    <i r="1">
      <x/>
    </i>
    <i r="2">
      <x/>
    </i>
    <i r="2">
      <x v="18"/>
    </i>
    <i r="2">
      <x v="19"/>
    </i>
    <i r="2">
      <x v="28"/>
    </i>
    <i t="grand">
      <x/>
    </i>
  </rowItems>
  <colFields count="1">
    <field x="-2"/>
  </colFields>
  <colItems count="2">
    <i>
      <x/>
    </i>
    <i i="1">
      <x v="1"/>
    </i>
  </colItems>
  <dataFields count="2">
    <dataField name="Sum of Total Amount" fld="16" baseField="0" baseItem="0" numFmtId="165"/>
    <dataField name="Count of Trans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4B90E2-E8E5-4A78-9839-6CD3EF1E7A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pivotFields count="20">
    <pivotField showAll="0"/>
    <pivotField numFmtId="164" showAll="0"/>
    <pivotField numFmtId="164" showAll="0"/>
    <pivotField showAll="0"/>
    <pivotField axis="axisCol" showAll="0">
      <items count="5">
        <item x="0"/>
        <item x="1"/>
        <item x="2"/>
        <item x="3"/>
        <item t="default"/>
      </items>
    </pivotField>
    <pivotField showAll="0"/>
    <pivotField showAll="0">
      <items count="16">
        <item x="8"/>
        <item x="1"/>
        <item x="5"/>
        <item x="12"/>
        <item x="6"/>
        <item x="4"/>
        <item x="7"/>
        <item x="9"/>
        <item x="10"/>
        <item x="3"/>
        <item x="0"/>
        <item x="13"/>
        <item x="2"/>
        <item x="14"/>
        <item x="11"/>
        <item t="default"/>
      </items>
    </pivotField>
    <pivotField showAll="0"/>
    <pivotField showAll="0"/>
    <pivotField axis="axisRow" showAll="0">
      <items count="5">
        <item x="3"/>
        <item x="1"/>
        <item x="2"/>
        <item x="0"/>
        <item t="default"/>
      </items>
    </pivotField>
    <pivotField showAll="0"/>
    <pivotField showAll="0">
      <items count="4">
        <item x="1"/>
        <item x="0"/>
        <item x="2"/>
        <item t="default"/>
      </items>
    </pivotField>
    <pivotField showAll="0">
      <items count="9">
        <item x="5"/>
        <item x="6"/>
        <item x="4"/>
        <item x="0"/>
        <item x="7"/>
        <item x="3"/>
        <item x="2"/>
        <item x="1"/>
        <item t="default"/>
      </items>
    </pivotField>
    <pivotField showAll="0"/>
    <pivotField showAll="0"/>
    <pivotField showAll="0"/>
    <pivotField dataField="1" numFmtId="165" showAll="0"/>
    <pivotField showAll="0">
      <items count="4">
        <item x="2"/>
        <item x="1"/>
        <item x="0"/>
        <item t="default"/>
      </items>
    </pivotField>
    <pivotField showAll="0">
      <items count="14">
        <item x="0"/>
        <item x="1"/>
        <item x="2"/>
        <item x="3"/>
        <item x="4"/>
        <item x="5"/>
        <item x="6"/>
        <item x="7"/>
        <item x="8"/>
        <item x="9"/>
        <item x="10"/>
        <item x="11"/>
        <item x="12"/>
        <item t="default"/>
      </items>
    </pivotField>
    <pivotField dragToRow="0" dragToCol="0" dragToPage="0" showAll="0" defaultSubtotal="0"/>
  </pivotFields>
  <rowFields count="1">
    <field x="9"/>
  </rowFields>
  <rowItems count="5">
    <i>
      <x/>
    </i>
    <i>
      <x v="1"/>
    </i>
    <i>
      <x v="2"/>
    </i>
    <i>
      <x v="3"/>
    </i>
    <i t="grand">
      <x/>
    </i>
  </rowItems>
  <colFields count="1">
    <field x="4"/>
  </colFields>
  <colItems count="5">
    <i>
      <x/>
    </i>
    <i>
      <x v="1"/>
    </i>
    <i>
      <x v="2"/>
    </i>
    <i>
      <x v="3"/>
    </i>
    <i t="grand">
      <x/>
    </i>
  </colItems>
  <dataFields count="1">
    <dataField name="Sum of Total Amount"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6E24FB-FF00-42BB-A673-4C84BEC242D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V69:X73" firstHeaderRow="0" firstDataRow="1" firstDataCol="1"/>
  <pivotFields count="20">
    <pivotField dataField="1" showAll="0">
      <items count="37">
        <item x="10"/>
        <item x="11"/>
        <item x="12"/>
        <item x="13"/>
        <item x="14"/>
        <item x="15"/>
        <item x="16"/>
        <item x="17"/>
        <item x="18"/>
        <item x="9"/>
        <item x="20"/>
        <item x="21"/>
        <item x="22"/>
        <item x="23"/>
        <item x="24"/>
        <item x="25"/>
        <item x="26"/>
        <item x="27"/>
        <item x="28"/>
        <item x="19"/>
        <item x="30"/>
        <item x="31"/>
        <item x="32"/>
        <item x="33"/>
        <item x="34"/>
        <item x="35"/>
        <item x="29"/>
        <item x="0"/>
        <item x="1"/>
        <item x="2"/>
        <item x="3"/>
        <item x="4"/>
        <item x="5"/>
        <item x="6"/>
        <item x="7"/>
        <item x="8"/>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axis="axisRow" showAll="0">
      <items count="4">
        <item x="2"/>
        <item x="1"/>
        <item x="0"/>
        <item t="default"/>
      </items>
    </pivotField>
    <pivotField showAll="0"/>
    <pivotField dragToRow="0" dragToCol="0" dragToPage="0" showAll="0" defaultSubtotal="0"/>
  </pivotFields>
  <rowFields count="1">
    <field x="17"/>
  </rowFields>
  <rowItems count="4">
    <i>
      <x/>
    </i>
    <i>
      <x v="1"/>
    </i>
    <i>
      <x v="2"/>
    </i>
    <i t="grand">
      <x/>
    </i>
  </rowItems>
  <colFields count="1">
    <field x="-2"/>
  </colFields>
  <colItems count="2">
    <i>
      <x/>
    </i>
    <i i="1">
      <x v="1"/>
    </i>
  </colItems>
  <dataFields count="2">
    <dataField name="Sum of Total Amount" fld="16" showDataAs="percentOfTotal" baseField="0" baseItem="0" numFmtId="10"/>
    <dataField name="Count of Trans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7" count="1" selected="0">
            <x v="0"/>
          </reference>
        </references>
      </pivotArea>
    </chartFormat>
    <chartFormat chart="0" format="3">
      <pivotArea type="data" outline="0" fieldPosition="0">
        <references count="2">
          <reference field="4294967294" count="1" selected="0">
            <x v="0"/>
          </reference>
          <reference field="17" count="1" selected="0">
            <x v="1"/>
          </reference>
        </references>
      </pivotArea>
    </chartFormat>
    <chartFormat chart="0" format="4">
      <pivotArea type="data" outline="0" fieldPosition="0">
        <references count="2">
          <reference field="4294967294" count="1" selected="0">
            <x v="0"/>
          </reference>
          <reference field="17" count="1" selected="0">
            <x v="2"/>
          </reference>
        </references>
      </pivotArea>
    </chartFormat>
    <chartFormat chart="0" format="5">
      <pivotArea type="data" outline="0" fieldPosition="0">
        <references count="2">
          <reference field="4294967294" count="1" selected="0">
            <x v="1"/>
          </reference>
          <reference field="17" count="1" selected="0">
            <x v="0"/>
          </reference>
        </references>
      </pivotArea>
    </chartFormat>
    <chartFormat chart="0" format="6">
      <pivotArea type="data" outline="0" fieldPosition="0">
        <references count="2">
          <reference field="4294967294" count="1" selected="0">
            <x v="1"/>
          </reference>
          <reference field="17" count="1" selected="0">
            <x v="1"/>
          </reference>
        </references>
      </pivotArea>
    </chartFormat>
    <chartFormat chart="0" format="7">
      <pivotArea type="data" outline="0" fieldPosition="0">
        <references count="2">
          <reference field="4294967294" count="1" selected="0">
            <x v="1"/>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A103AD-B028-4E4D-8BC9-4683F54C64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63:U71" firstHeaderRow="0" firstDataRow="1" firstDataCol="1"/>
  <pivotFields count="2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showAll="0"/>
    <pivotField axis="axisRow" dataField="1" showAll="0">
      <items count="14">
        <item x="0"/>
        <item x="1"/>
        <item x="2"/>
        <item x="3"/>
        <item x="4"/>
        <item x="5"/>
        <item x="6"/>
        <item x="7"/>
        <item x="8"/>
        <item x="9"/>
        <item x="10"/>
        <item x="11"/>
        <item x="12"/>
        <item t="default"/>
      </items>
    </pivotField>
    <pivotField dragToRow="0" dragToCol="0" dragToPage="0" showAll="0" defaultSubtotal="0"/>
  </pivotFields>
  <rowFields count="1">
    <field x="18"/>
  </rowFields>
  <rowItems count="8">
    <i>
      <x v="2"/>
    </i>
    <i>
      <x v="3"/>
    </i>
    <i>
      <x v="4"/>
    </i>
    <i>
      <x v="5"/>
    </i>
    <i>
      <x v="6"/>
    </i>
    <i>
      <x v="7"/>
    </i>
    <i>
      <x v="8"/>
    </i>
    <i t="grand">
      <x/>
    </i>
  </rowItems>
  <colFields count="1">
    <field x="-2"/>
  </colFields>
  <colItems count="2">
    <i>
      <x/>
    </i>
    <i i="1">
      <x v="1"/>
    </i>
  </colItems>
  <dataFields count="2">
    <dataField name="Sum of Total Amount" fld="16" baseField="0" baseItem="0" numFmtId="165"/>
    <dataField name="Count of Age" fld="18"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D02FAB-46E9-46D0-9B0B-D1A7C3F75CB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44:O57" firstHeaderRow="1" firstDataRow="1" firstDataCol="1"/>
  <pivotFields count="20">
    <pivotField showAll="0"/>
    <pivotField numFmtId="164" showAll="0"/>
    <pivotField numFmtId="164" showAll="0"/>
    <pivotField axis="axisRow" showAll="0" sortType="ascending">
      <items count="13">
        <item x="0"/>
        <item x="1"/>
        <item x="2"/>
        <item x="3"/>
        <item x="4"/>
        <item x="5"/>
        <item x="6"/>
        <item x="7"/>
        <item x="8"/>
        <item x="9"/>
        <item x="10"/>
        <item x="11"/>
        <item t="default"/>
      </items>
    </pivotField>
    <pivotField showAll="0"/>
    <pivotField showAll="0"/>
    <pivotField showAll="0">
      <items count="16">
        <item x="8"/>
        <item x="1"/>
        <item x="5"/>
        <item x="12"/>
        <item x="6"/>
        <item x="4"/>
        <item x="7"/>
        <item x="9"/>
        <item x="10"/>
        <item x="3"/>
        <item x="0"/>
        <item x="13"/>
        <item x="2"/>
        <item x="14"/>
        <item x="11"/>
        <item t="default"/>
      </items>
    </pivotField>
    <pivotField showAll="0"/>
    <pivotField showAll="0"/>
    <pivotField showAll="0">
      <items count="5">
        <item x="3"/>
        <item x="1"/>
        <item x="2"/>
        <item x="0"/>
        <item t="default"/>
      </items>
    </pivotField>
    <pivotField showAll="0"/>
    <pivotField showAll="0">
      <items count="4">
        <item x="1"/>
        <item x="0"/>
        <item x="2"/>
        <item t="default"/>
      </items>
    </pivotField>
    <pivotField showAll="0">
      <items count="9">
        <item x="5"/>
        <item x="6"/>
        <item x="4"/>
        <item x="0"/>
        <item x="7"/>
        <item x="3"/>
        <item x="2"/>
        <item x="1"/>
        <item t="default"/>
      </items>
    </pivotField>
    <pivotField showAll="0"/>
    <pivotField showAll="0"/>
    <pivotField showAll="0"/>
    <pivotField dataField="1" numFmtId="165" showAll="0"/>
    <pivotField showAll="0">
      <items count="4">
        <item x="2"/>
        <item x="1"/>
        <item x="0"/>
        <item t="default"/>
      </items>
    </pivotField>
    <pivotField showAll="0">
      <items count="14">
        <item x="0"/>
        <item x="1"/>
        <item x="2"/>
        <item x="3"/>
        <item x="4"/>
        <item x="5"/>
        <item x="6"/>
        <item x="7"/>
        <item x="8"/>
        <item x="9"/>
        <item x="10"/>
        <item x="11"/>
        <item x="12"/>
        <item t="default"/>
      </items>
    </pivotField>
    <pivotField dragToRow="0" dragToCol="0" dragToPage="0" showAll="0" defaultSubtotal="0"/>
  </pivotFields>
  <rowFields count="1">
    <field x="3"/>
  </rowFields>
  <rowItems count="13">
    <i>
      <x/>
    </i>
    <i>
      <x v="1"/>
    </i>
    <i>
      <x v="2"/>
    </i>
    <i>
      <x v="3"/>
    </i>
    <i>
      <x v="4"/>
    </i>
    <i>
      <x v="5"/>
    </i>
    <i>
      <x v="6"/>
    </i>
    <i>
      <x v="7"/>
    </i>
    <i>
      <x v="8"/>
    </i>
    <i>
      <x v="9"/>
    </i>
    <i>
      <x v="10"/>
    </i>
    <i>
      <x v="11"/>
    </i>
    <i t="grand">
      <x/>
    </i>
  </rowItems>
  <colItems count="1">
    <i/>
  </colItems>
  <dataFields count="1">
    <dataField name="Sum of Total Amount" fld="16"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67ACCD-BB82-4203-8238-F4D9882BCD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8:K49" firstHeaderRow="1" firstDataRow="1" firstDataCol="1" rowPageCount="1" colPageCount="1"/>
  <pivotFields count="20">
    <pivotField showAll="0"/>
    <pivotField numFmtId="164" showAll="0"/>
    <pivotField numFmtId="164" showAll="0"/>
    <pivotField showAll="0"/>
    <pivotField showAll="0"/>
    <pivotField showAll="0"/>
    <pivotField showAll="0">
      <items count="16">
        <item x="8"/>
        <item x="1"/>
        <item x="5"/>
        <item x="12"/>
        <item x="6"/>
        <item x="4"/>
        <item x="7"/>
        <item x="9"/>
        <item x="10"/>
        <item x="3"/>
        <item x="0"/>
        <item x="13"/>
        <item x="2"/>
        <item x="14"/>
        <item x="11"/>
        <item t="default"/>
      </items>
    </pivotField>
    <pivotField showAll="0"/>
    <pivotField showAll="0"/>
    <pivotField axis="axisPage" showAll="0">
      <items count="5">
        <item x="3"/>
        <item x="1"/>
        <item x="2"/>
        <item x="0"/>
        <item t="default"/>
      </items>
    </pivotField>
    <pivotField axis="axisRow" showAll="0" measureFilter="1">
      <items count="17">
        <item x="12"/>
        <item x="4"/>
        <item x="10"/>
        <item x="7"/>
        <item x="15"/>
        <item x="14"/>
        <item x="13"/>
        <item x="1"/>
        <item x="0"/>
        <item x="6"/>
        <item x="3"/>
        <item x="2"/>
        <item x="5"/>
        <item x="8"/>
        <item x="9"/>
        <item x="11"/>
        <item t="default"/>
      </items>
    </pivotField>
    <pivotField showAll="0">
      <items count="4">
        <item x="1"/>
        <item x="0"/>
        <item x="2"/>
        <item t="default"/>
      </items>
    </pivotField>
    <pivotField showAll="0">
      <items count="9">
        <item x="5"/>
        <item x="6"/>
        <item x="4"/>
        <item x="0"/>
        <item x="7"/>
        <item x="3"/>
        <item x="2"/>
        <item x="1"/>
        <item t="default"/>
      </items>
    </pivotField>
    <pivotField showAll="0"/>
    <pivotField showAll="0"/>
    <pivotField showAll="0"/>
    <pivotField dataField="1" numFmtId="165" showAll="0"/>
    <pivotField showAll="0">
      <items count="4">
        <item x="2"/>
        <item x="1"/>
        <item x="0"/>
        <item t="default"/>
      </items>
    </pivotField>
    <pivotField showAll="0">
      <items count="14">
        <item x="0"/>
        <item x="1"/>
        <item x="2"/>
        <item x="3"/>
        <item x="4"/>
        <item x="5"/>
        <item x="6"/>
        <item x="7"/>
        <item x="8"/>
        <item x="9"/>
        <item x="10"/>
        <item x="11"/>
        <item x="12"/>
        <item t="default"/>
      </items>
    </pivotField>
    <pivotField dragToRow="0" dragToCol="0" dragToPage="0" showAll="0" defaultSubtotal="0"/>
  </pivotFields>
  <rowFields count="1">
    <field x="10"/>
  </rowFields>
  <rowItems count="11">
    <i>
      <x v="1"/>
    </i>
    <i>
      <x v="2"/>
    </i>
    <i>
      <x v="3"/>
    </i>
    <i>
      <x v="7"/>
    </i>
    <i>
      <x v="8"/>
    </i>
    <i>
      <x v="9"/>
    </i>
    <i>
      <x v="11"/>
    </i>
    <i>
      <x v="13"/>
    </i>
    <i>
      <x v="14"/>
    </i>
    <i>
      <x v="15"/>
    </i>
    <i t="grand">
      <x/>
    </i>
  </rowItems>
  <colItems count="1">
    <i/>
  </colItems>
  <pageFields count="1">
    <pageField fld="9" hier="-1"/>
  </pageFields>
  <dataFields count="1">
    <dataField name="Sum of Total Amount" fld="16" baseField="0" baseItem="0" numFmtId="165"/>
  </dataField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_Clean" xr10:uid="{9895DE9E-ABC7-4BF4-9C9E-5E24AE0348A7}" sourceName="Store Name Clean">
  <pivotTables>
    <pivotTable tabId="4" name="PivotTable6"/>
    <pivotTable tabId="4" name="PivotTable1"/>
    <pivotTable tabId="4" name="PivotTable3"/>
    <pivotTable tabId="4" name="PivotTable4"/>
    <pivotTable tabId="4" name="PivotTable5"/>
  </pivotTables>
  <data>
    <tabular pivotCacheId="1832740071">
      <items count="15">
        <i x="8" s="1"/>
        <i x="1" s="1"/>
        <i x="5" s="1"/>
        <i x="12" s="1"/>
        <i x="6" s="1"/>
        <i x="4" s="1"/>
        <i x="7" s="1"/>
        <i x="9" s="1"/>
        <i x="10" s="1"/>
        <i x="3" s="1"/>
        <i x="0" s="1"/>
        <i x="13" s="1"/>
        <i x="2" s="1"/>
        <i x="14"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9774BE-A321-41BE-B0AB-25D436DCFB02}" sourceName="Region">
  <pivotTables>
    <pivotTable tabId="4" name="PivotTable6"/>
    <pivotTable tabId="4" name="PivotTable1"/>
    <pivotTable tabId="4" name="PivotTable3"/>
    <pivotTable tabId="4" name="PivotTable4"/>
    <pivotTable tabId="4" name="PivotTable5"/>
  </pivotTables>
  <data>
    <tabular pivotCacheId="1832740071">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9C2465-A3A4-41A7-9A43-E8FBA2A6F71C}" sourceName="Category">
  <pivotTables>
    <pivotTable tabId="4" name="PivotTable6"/>
    <pivotTable tabId="4" name="PivotTable1"/>
    <pivotTable tabId="4" name="PivotTable3"/>
    <pivotTable tabId="4" name="PivotTable4"/>
    <pivotTable tabId="4" name="PivotTable5"/>
  </pivotTables>
  <data>
    <tabular pivotCacheId="183274007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99D158E-3DB7-4577-95BD-AE20113FA134}" sourceName="Product">
  <pivotTables>
    <pivotTable tabId="4" name="PivotTable6"/>
    <pivotTable tabId="4" name="PivotTable1"/>
    <pivotTable tabId="4" name="PivotTable3"/>
    <pivotTable tabId="4" name="PivotTable4"/>
    <pivotTable tabId="4" name="PivotTable5"/>
  </pivotTables>
  <data>
    <tabular pivotCacheId="1832740071">
      <items count="8">
        <i x="5" s="1"/>
        <i x="6" s="1"/>
        <i x="4" s="1"/>
        <i x="0" s="1"/>
        <i x="7" s="1"/>
        <i x="3"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5CAE9F5F-BE94-437F-83DF-66819D54BBC0}" sourceName="Payment">
  <pivotTables>
    <pivotTable tabId="4" name="PivotTable6"/>
    <pivotTable tabId="4" name="PivotTable1"/>
    <pivotTable tabId="4" name="PivotTable3"/>
    <pivotTable tabId="4" name="PivotTable4"/>
    <pivotTable tabId="4" name="PivotTable5"/>
  </pivotTables>
  <data>
    <tabular pivotCacheId="183274007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Clean" xr10:uid="{F272AE76-A10A-489B-97D1-737069000F91}" cache="Slicer_Store_Name_Clean" caption="Store Name Clean" rowHeight="241300"/>
  <slicer name="Region" xr10:uid="{4A6DF60D-0AA9-4CF6-AD71-B669A1ECE5F5}" cache="Slicer_Region" caption="Region" rowHeight="241300"/>
  <slicer name="Category" xr10:uid="{650959B9-A9C6-445C-A57D-F5F54AB506D5}" cache="Slicer_Category" caption="Category" rowHeight="241300"/>
  <slicer name="Product" xr10:uid="{DE71C113-3C5F-462C-8404-B60C77EC902B}" cache="Slicer_Product" caption="Product" rowHeight="241300"/>
  <slicer name="Payment" xr10:uid="{13672392-0BF2-43B5-BEC1-4762039362ED}" cache="Slicer_Payment" caption="Pay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F136C1-8F2F-40A0-849C-02E06E460887}" name="Table1" displayName="Table1" ref="A1:S37" totalsRowShown="0">
  <autoFilter ref="A1:S37" xr:uid="{C7F136C1-8F2F-40A0-849C-02E06E460887}"/>
  <tableColumns count="19">
    <tableColumn id="1" xr3:uid="{D4E6AA83-54C5-4E79-A802-A560B7502B14}" name="Trans ID"/>
    <tableColumn id="2" xr3:uid="{2460B8C1-429D-47FA-9591-BE8AD6A0DF85}" name="Date" dataDxfId="9"/>
    <tableColumn id="19" xr3:uid="{6EC602C6-2242-483C-92A5-504E53A9BC69}" name="Year" dataDxfId="8">
      <calculatedColumnFormula>YEAR(Table1[[#This Row],[Date]])</calculatedColumnFormula>
    </tableColumn>
    <tableColumn id="20" xr3:uid="{676F31EA-5B24-4405-A27D-DD6BBC71D83C}" name="Month" dataDxfId="7">
      <calculatedColumnFormula>TEXT(Table1[[#This Row],[Date]], "mmm")</calculatedColumnFormula>
    </tableColumn>
    <tableColumn id="21" xr3:uid="{A0084551-0134-4836-8015-86E37E728817}" name="Quarter" dataDxfId="6">
      <calculatedColumnFormula>"Q" &amp; ROUNDUP(MONTH(B2)/3,0)</calculatedColumnFormula>
    </tableColumn>
    <tableColumn id="3" xr3:uid="{A34EF463-01CE-478B-8585-6386695F19B4}" name="Store ID"/>
    <tableColumn id="16" xr3:uid="{412DDE48-3D5B-4600-8D0F-BCD4C22D0CB7}" name="Store Name Clean" dataDxfId="5"/>
    <tableColumn id="17" xr3:uid="{F65D5D49-41DC-40CC-AE5C-A7A90DBE1386}" name="Location Clean" dataDxfId="4"/>
    <tableColumn id="6" xr3:uid="{56D781C0-129A-4F7B-995C-DB67158403B7}" name="State Clean" dataDxfId="3">
      <calculatedColumnFormula>VLOOKUP(Table1[[#This Row],[Location Clean]],StateLookup,2,FALSE)</calculatedColumnFormula>
    </tableColumn>
    <tableColumn id="7" xr3:uid="{18B52F32-EB92-403A-8D71-986858C64823}" name="Region"/>
    <tableColumn id="18" xr3:uid="{ED4E4FF1-51DB-40C3-A446-D2FFD658FE61}" name="Salesperson Clean" dataDxfId="2"/>
    <tableColumn id="9" xr3:uid="{9451A11A-7283-46C8-8884-652994122106}" name="Category"/>
    <tableColumn id="10" xr3:uid="{F5740EC2-BE14-45E7-9A61-9079192681F2}" name="Product"/>
    <tableColumn id="11" xr3:uid="{8307D04E-B398-4A0E-B1D6-5A53ECD5C0E2}" name="Price"/>
    <tableColumn id="12" xr3:uid="{3B827DB6-2969-4D7A-BD0E-E4BF5E3044F6}" name="Qty"/>
    <tableColumn id="13" xr3:uid="{A2190CAE-E58F-42FF-BC65-182E393B437F}" name="Disc"/>
    <tableColumn id="23" xr3:uid="{8F46C564-131E-4515-AD65-286C7DDE8AA3}" name="Total Sales" dataDxfId="1">
      <calculatedColumnFormula>Table1[[#This Row],[Price]]*Table1[[#This Row],[Qty]]* (1- P2/100)</calculatedColumnFormula>
    </tableColumn>
    <tableColumn id="14" xr3:uid="{D5353955-F676-404F-BA1C-C0A89F846041}" name="Payment"/>
    <tableColumn id="15" xr3:uid="{16F2C1BF-A710-4BA0-A542-E1E67C844662}" name="Ag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35D8C-90AF-46A9-A787-17845E7432EE}">
  <dimension ref="A1:O37"/>
  <sheetViews>
    <sheetView workbookViewId="0">
      <selection activeCell="P27" sqref="P27"/>
    </sheetView>
  </sheetViews>
  <sheetFormatPr defaultRowHeight="14.5" x14ac:dyDescent="0.35"/>
  <cols>
    <col min="1" max="1" width="7.7265625" bestFit="1" customWidth="1"/>
    <col min="2" max="2" width="10.453125" bestFit="1" customWidth="1"/>
    <col min="3" max="3" width="7.453125" bestFit="1" customWidth="1"/>
    <col min="4" max="4" width="14.54296875" bestFit="1" customWidth="1"/>
    <col min="5" max="5" width="9.36328125" bestFit="1" customWidth="1"/>
    <col min="6" max="6" width="10" bestFit="1" customWidth="1"/>
    <col min="7" max="7" width="6.453125" bestFit="1" customWidth="1"/>
    <col min="8" max="8" width="10.81640625" bestFit="1" customWidth="1"/>
    <col min="9" max="9" width="9.7265625" bestFit="1" customWidth="1"/>
    <col min="10" max="10" width="7.26953125" bestFit="1" customWidth="1"/>
    <col min="11" max="11" width="4.81640625" bestFit="1" customWidth="1"/>
    <col min="12" max="12" width="3.7265625" bestFit="1" customWidth="1"/>
    <col min="13" max="13" width="4.1796875" bestFit="1" customWidth="1"/>
    <col min="14" max="14" width="12.36328125" bestFit="1" customWidth="1"/>
    <col min="15" max="15" width="3.906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s="1">
        <v>45672</v>
      </c>
      <c r="C2" t="s">
        <v>16</v>
      </c>
      <c r="D2" t="s">
        <v>17</v>
      </c>
      <c r="E2" t="s">
        <v>18</v>
      </c>
      <c r="F2" t="s">
        <v>18</v>
      </c>
      <c r="G2" t="s">
        <v>19</v>
      </c>
      <c r="H2" t="s">
        <v>20</v>
      </c>
      <c r="I2" t="s">
        <v>21</v>
      </c>
      <c r="J2" t="s">
        <v>22</v>
      </c>
      <c r="K2">
        <v>850</v>
      </c>
      <c r="L2">
        <v>3</v>
      </c>
      <c r="M2">
        <v>0</v>
      </c>
      <c r="N2" t="s">
        <v>23</v>
      </c>
      <c r="O2">
        <v>34</v>
      </c>
    </row>
    <row r="3" spans="1:15" x14ac:dyDescent="0.35">
      <c r="A3" t="s">
        <v>24</v>
      </c>
      <c r="B3" s="1">
        <v>45677</v>
      </c>
      <c r="C3" t="s">
        <v>25</v>
      </c>
      <c r="D3" t="s">
        <v>26</v>
      </c>
      <c r="E3" t="s">
        <v>27</v>
      </c>
      <c r="F3" t="s">
        <v>28</v>
      </c>
      <c r="G3" t="s">
        <v>29</v>
      </c>
      <c r="H3" t="s">
        <v>30</v>
      </c>
      <c r="I3" t="s">
        <v>31</v>
      </c>
      <c r="J3" t="s">
        <v>32</v>
      </c>
      <c r="K3">
        <v>35</v>
      </c>
      <c r="L3">
        <v>10</v>
      </c>
      <c r="M3">
        <v>10</v>
      </c>
      <c r="N3" t="s">
        <v>33</v>
      </c>
      <c r="O3">
        <v>28</v>
      </c>
    </row>
    <row r="4" spans="1:15" x14ac:dyDescent="0.35">
      <c r="A4" t="s">
        <v>34</v>
      </c>
      <c r="B4" s="1">
        <v>45682</v>
      </c>
      <c r="C4" t="s">
        <v>35</v>
      </c>
      <c r="D4" t="s">
        <v>36</v>
      </c>
      <c r="E4" t="s">
        <v>37</v>
      </c>
      <c r="F4" t="s">
        <v>38</v>
      </c>
      <c r="G4" t="s">
        <v>39</v>
      </c>
      <c r="H4" t="s">
        <v>40</v>
      </c>
      <c r="I4" t="s">
        <v>41</v>
      </c>
      <c r="J4" t="s">
        <v>42</v>
      </c>
      <c r="K4">
        <v>40</v>
      </c>
      <c r="L4">
        <v>20</v>
      </c>
      <c r="M4">
        <v>0</v>
      </c>
      <c r="N4" t="s">
        <v>43</v>
      </c>
      <c r="O4">
        <v>45</v>
      </c>
    </row>
    <row r="5" spans="1:15" x14ac:dyDescent="0.35">
      <c r="A5" t="s">
        <v>44</v>
      </c>
      <c r="B5" s="1">
        <v>45690</v>
      </c>
      <c r="C5" t="s">
        <v>16</v>
      </c>
      <c r="D5" t="s">
        <v>17</v>
      </c>
      <c r="E5" t="s">
        <v>18</v>
      </c>
      <c r="F5" t="s">
        <v>18</v>
      </c>
      <c r="G5" t="s">
        <v>19</v>
      </c>
      <c r="H5" t="s">
        <v>45</v>
      </c>
      <c r="I5" t="s">
        <v>21</v>
      </c>
      <c r="J5" t="s">
        <v>46</v>
      </c>
      <c r="K5">
        <v>650</v>
      </c>
      <c r="L5">
        <v>2</v>
      </c>
      <c r="M5">
        <v>5</v>
      </c>
      <c r="N5" t="s">
        <v>23</v>
      </c>
    </row>
    <row r="6" spans="1:15" x14ac:dyDescent="0.35">
      <c r="A6" t="s">
        <v>47</v>
      </c>
      <c r="B6" s="1">
        <v>45698</v>
      </c>
      <c r="C6" t="s">
        <v>48</v>
      </c>
      <c r="D6" t="s">
        <v>49</v>
      </c>
      <c r="E6" t="s">
        <v>50</v>
      </c>
      <c r="F6" t="s">
        <v>50</v>
      </c>
      <c r="G6" t="s">
        <v>29</v>
      </c>
      <c r="H6" t="s">
        <v>51</v>
      </c>
      <c r="I6" t="s">
        <v>31</v>
      </c>
      <c r="J6" t="s">
        <v>52</v>
      </c>
      <c r="K6">
        <v>45</v>
      </c>
      <c r="L6">
        <v>15</v>
      </c>
      <c r="M6">
        <v>0</v>
      </c>
      <c r="N6" t="s">
        <v>53</v>
      </c>
      <c r="O6">
        <v>32</v>
      </c>
    </row>
    <row r="7" spans="1:15" x14ac:dyDescent="0.35">
      <c r="A7" t="s">
        <v>54</v>
      </c>
      <c r="B7" s="1">
        <v>45703</v>
      </c>
      <c r="C7" t="s">
        <v>55</v>
      </c>
      <c r="D7" t="s">
        <v>56</v>
      </c>
      <c r="E7" t="s">
        <v>57</v>
      </c>
      <c r="F7" t="s">
        <v>58</v>
      </c>
      <c r="G7" t="s">
        <v>19</v>
      </c>
      <c r="H7" t="s">
        <v>59</v>
      </c>
      <c r="I7" t="s">
        <v>41</v>
      </c>
      <c r="J7" t="s">
        <v>60</v>
      </c>
      <c r="K7">
        <v>30</v>
      </c>
      <c r="L7">
        <v>30</v>
      </c>
      <c r="M7">
        <v>0</v>
      </c>
      <c r="N7" t="s">
        <v>43</v>
      </c>
      <c r="O7">
        <v>38</v>
      </c>
    </row>
    <row r="8" spans="1:15" x14ac:dyDescent="0.35">
      <c r="A8" t="s">
        <v>61</v>
      </c>
      <c r="B8" s="1">
        <v>45717</v>
      </c>
      <c r="C8" t="s">
        <v>25</v>
      </c>
      <c r="D8" t="s">
        <v>26</v>
      </c>
      <c r="E8" t="s">
        <v>27</v>
      </c>
      <c r="F8" t="s">
        <v>28</v>
      </c>
      <c r="G8" t="s">
        <v>29</v>
      </c>
      <c r="H8" t="s">
        <v>30</v>
      </c>
      <c r="I8" t="s">
        <v>21</v>
      </c>
      <c r="J8" t="s">
        <v>22</v>
      </c>
      <c r="K8">
        <v>850</v>
      </c>
      <c r="L8">
        <v>4</v>
      </c>
      <c r="M8">
        <v>10</v>
      </c>
      <c r="N8" t="s">
        <v>62</v>
      </c>
      <c r="O8">
        <v>41</v>
      </c>
    </row>
    <row r="9" spans="1:15" x14ac:dyDescent="0.35">
      <c r="A9" t="s">
        <v>63</v>
      </c>
      <c r="B9" s="1">
        <v>45726</v>
      </c>
      <c r="C9" t="s">
        <v>64</v>
      </c>
      <c r="D9" t="s">
        <v>65</v>
      </c>
      <c r="E9" t="s">
        <v>66</v>
      </c>
      <c r="F9" t="s">
        <v>67</v>
      </c>
      <c r="G9" t="s">
        <v>39</v>
      </c>
      <c r="H9" t="s">
        <v>68</v>
      </c>
      <c r="I9" t="s">
        <v>31</v>
      </c>
      <c r="J9" t="s">
        <v>69</v>
      </c>
      <c r="K9">
        <v>55</v>
      </c>
      <c r="L9">
        <v>8</v>
      </c>
      <c r="M9">
        <v>0</v>
      </c>
      <c r="N9" t="s">
        <v>70</v>
      </c>
      <c r="O9">
        <v>29</v>
      </c>
    </row>
    <row r="10" spans="1:15" x14ac:dyDescent="0.35">
      <c r="A10" t="s">
        <v>71</v>
      </c>
      <c r="B10" s="1">
        <v>45736</v>
      </c>
      <c r="C10" t="s">
        <v>35</v>
      </c>
      <c r="D10" t="s">
        <v>36</v>
      </c>
      <c r="E10" t="s">
        <v>37</v>
      </c>
      <c r="F10" t="s">
        <v>38</v>
      </c>
      <c r="G10" t="s">
        <v>39</v>
      </c>
      <c r="H10" t="s">
        <v>40</v>
      </c>
      <c r="I10" t="s">
        <v>41</v>
      </c>
      <c r="J10" t="s">
        <v>72</v>
      </c>
      <c r="K10">
        <v>25</v>
      </c>
      <c r="L10">
        <v>40</v>
      </c>
      <c r="M10">
        <v>0</v>
      </c>
      <c r="N10" t="s">
        <v>53</v>
      </c>
      <c r="O10">
        <v>52</v>
      </c>
    </row>
    <row r="11" spans="1:15" x14ac:dyDescent="0.35">
      <c r="A11" t="s">
        <v>73</v>
      </c>
      <c r="B11" s="1">
        <v>45752</v>
      </c>
      <c r="C11" t="s">
        <v>74</v>
      </c>
      <c r="D11" t="s">
        <v>75</v>
      </c>
      <c r="E11" t="s">
        <v>76</v>
      </c>
      <c r="F11" t="s">
        <v>76</v>
      </c>
      <c r="G11" t="s">
        <v>77</v>
      </c>
      <c r="H11" t="s">
        <v>78</v>
      </c>
      <c r="I11" t="s">
        <v>21</v>
      </c>
      <c r="J11" t="s">
        <v>22</v>
      </c>
      <c r="K11">
        <v>850</v>
      </c>
      <c r="L11">
        <v>2</v>
      </c>
      <c r="M11">
        <v>0</v>
      </c>
      <c r="N11" t="s">
        <v>43</v>
      </c>
    </row>
    <row r="12" spans="1:15" x14ac:dyDescent="0.35">
      <c r="A12" t="s">
        <v>79</v>
      </c>
      <c r="B12" s="1">
        <v>45762</v>
      </c>
      <c r="C12" t="s">
        <v>16</v>
      </c>
      <c r="D12" t="s">
        <v>17</v>
      </c>
      <c r="E12" t="s">
        <v>18</v>
      </c>
      <c r="F12" t="s">
        <v>18</v>
      </c>
      <c r="G12" t="s">
        <v>19</v>
      </c>
      <c r="H12" t="s">
        <v>80</v>
      </c>
      <c r="I12" t="s">
        <v>31</v>
      </c>
      <c r="J12" t="s">
        <v>32</v>
      </c>
      <c r="K12">
        <v>35</v>
      </c>
      <c r="L12">
        <v>20</v>
      </c>
      <c r="M12">
        <v>5</v>
      </c>
      <c r="N12" t="s">
        <v>62</v>
      </c>
      <c r="O12">
        <v>27</v>
      </c>
    </row>
    <row r="13" spans="1:15" x14ac:dyDescent="0.35">
      <c r="A13" t="s">
        <v>81</v>
      </c>
      <c r="B13" s="1">
        <v>45772</v>
      </c>
      <c r="C13" t="s">
        <v>82</v>
      </c>
      <c r="D13" t="s">
        <v>83</v>
      </c>
      <c r="E13" t="s">
        <v>84</v>
      </c>
      <c r="F13" t="s">
        <v>85</v>
      </c>
      <c r="G13" t="s">
        <v>19</v>
      </c>
      <c r="H13" t="s">
        <v>86</v>
      </c>
      <c r="I13" t="s">
        <v>41</v>
      </c>
      <c r="J13" t="s">
        <v>42</v>
      </c>
      <c r="K13">
        <v>40</v>
      </c>
      <c r="L13">
        <v>25</v>
      </c>
      <c r="M13">
        <v>0</v>
      </c>
      <c r="N13" t="s">
        <v>53</v>
      </c>
    </row>
    <row r="14" spans="1:15" x14ac:dyDescent="0.35">
      <c r="A14" t="s">
        <v>87</v>
      </c>
      <c r="B14" s="1">
        <v>45778</v>
      </c>
      <c r="C14" t="s">
        <v>48</v>
      </c>
      <c r="D14" t="s">
        <v>49</v>
      </c>
      <c r="E14" t="s">
        <v>50</v>
      </c>
      <c r="F14" t="s">
        <v>50</v>
      </c>
      <c r="G14" t="s">
        <v>29</v>
      </c>
      <c r="H14" t="s">
        <v>51</v>
      </c>
      <c r="I14" t="s">
        <v>21</v>
      </c>
      <c r="J14" t="s">
        <v>46</v>
      </c>
      <c r="K14">
        <v>650</v>
      </c>
      <c r="L14">
        <v>3</v>
      </c>
      <c r="M14">
        <v>0</v>
      </c>
      <c r="N14" t="s">
        <v>23</v>
      </c>
      <c r="O14">
        <v>33</v>
      </c>
    </row>
    <row r="15" spans="1:15" x14ac:dyDescent="0.35">
      <c r="A15" t="s">
        <v>88</v>
      </c>
      <c r="B15" s="1">
        <v>45792</v>
      </c>
      <c r="C15" t="s">
        <v>89</v>
      </c>
      <c r="D15" t="s">
        <v>90</v>
      </c>
      <c r="E15" t="s">
        <v>91</v>
      </c>
      <c r="F15" t="s">
        <v>92</v>
      </c>
      <c r="G15" t="s">
        <v>19</v>
      </c>
      <c r="H15" t="s">
        <v>93</v>
      </c>
      <c r="I15" t="s">
        <v>31</v>
      </c>
      <c r="J15" t="s">
        <v>52</v>
      </c>
      <c r="K15">
        <v>45</v>
      </c>
      <c r="L15">
        <v>12</v>
      </c>
      <c r="M15">
        <v>0</v>
      </c>
      <c r="N15" t="s">
        <v>43</v>
      </c>
    </row>
    <row r="16" spans="1:15" x14ac:dyDescent="0.35">
      <c r="A16" t="s">
        <v>94</v>
      </c>
      <c r="B16" s="1">
        <v>45802</v>
      </c>
      <c r="C16" t="s">
        <v>25</v>
      </c>
      <c r="D16" t="s">
        <v>26</v>
      </c>
      <c r="E16" t="s">
        <v>27</v>
      </c>
      <c r="F16" t="s">
        <v>28</v>
      </c>
      <c r="G16" t="s">
        <v>29</v>
      </c>
      <c r="H16" t="s">
        <v>95</v>
      </c>
      <c r="I16" t="s">
        <v>41</v>
      </c>
      <c r="J16" t="s">
        <v>60</v>
      </c>
      <c r="K16">
        <v>30</v>
      </c>
      <c r="L16">
        <v>35</v>
      </c>
      <c r="M16">
        <v>0</v>
      </c>
      <c r="N16" t="s">
        <v>62</v>
      </c>
      <c r="O16">
        <v>43</v>
      </c>
    </row>
    <row r="17" spans="1:15" x14ac:dyDescent="0.35">
      <c r="A17" t="s">
        <v>96</v>
      </c>
      <c r="B17" s="1">
        <v>45809</v>
      </c>
      <c r="C17" t="s">
        <v>97</v>
      </c>
      <c r="D17" t="s">
        <v>98</v>
      </c>
      <c r="E17" t="s">
        <v>99</v>
      </c>
      <c r="F17" t="s">
        <v>100</v>
      </c>
      <c r="G17" t="s">
        <v>29</v>
      </c>
      <c r="H17" t="s">
        <v>101</v>
      </c>
      <c r="I17" t="s">
        <v>21</v>
      </c>
      <c r="J17" t="s">
        <v>22</v>
      </c>
      <c r="K17">
        <v>850</v>
      </c>
      <c r="L17">
        <v>5</v>
      </c>
      <c r="M17">
        <v>10</v>
      </c>
      <c r="N17" t="s">
        <v>53</v>
      </c>
      <c r="O17">
        <v>36</v>
      </c>
    </row>
    <row r="18" spans="1:15" x14ac:dyDescent="0.35">
      <c r="A18" t="s">
        <v>102</v>
      </c>
      <c r="B18" s="1">
        <v>45823</v>
      </c>
      <c r="C18" t="s">
        <v>55</v>
      </c>
      <c r="D18" t="s">
        <v>56</v>
      </c>
      <c r="E18" t="s">
        <v>57</v>
      </c>
      <c r="F18" t="s">
        <v>58</v>
      </c>
      <c r="G18" t="s">
        <v>19</v>
      </c>
      <c r="H18" t="s">
        <v>59</v>
      </c>
      <c r="I18" t="s">
        <v>31</v>
      </c>
      <c r="J18" t="s">
        <v>69</v>
      </c>
      <c r="K18">
        <v>55</v>
      </c>
      <c r="L18">
        <v>6</v>
      </c>
      <c r="M18">
        <v>0</v>
      </c>
      <c r="N18" t="s">
        <v>70</v>
      </c>
      <c r="O18">
        <v>31</v>
      </c>
    </row>
    <row r="19" spans="1:15" x14ac:dyDescent="0.35">
      <c r="A19" t="s">
        <v>103</v>
      </c>
      <c r="B19" s="1">
        <v>45833</v>
      </c>
      <c r="C19" t="s">
        <v>35</v>
      </c>
      <c r="D19" t="s">
        <v>36</v>
      </c>
      <c r="E19" t="s">
        <v>37</v>
      </c>
      <c r="F19" t="s">
        <v>38</v>
      </c>
      <c r="G19" t="s">
        <v>39</v>
      </c>
      <c r="H19" t="s">
        <v>104</v>
      </c>
      <c r="I19" t="s">
        <v>41</v>
      </c>
      <c r="J19" t="s">
        <v>72</v>
      </c>
      <c r="K19">
        <v>25</v>
      </c>
      <c r="L19">
        <v>50</v>
      </c>
      <c r="M19">
        <v>0</v>
      </c>
      <c r="N19" t="s">
        <v>43</v>
      </c>
      <c r="O19">
        <v>48</v>
      </c>
    </row>
    <row r="20" spans="1:15" x14ac:dyDescent="0.35">
      <c r="A20" t="s">
        <v>105</v>
      </c>
      <c r="B20" s="1">
        <v>45839</v>
      </c>
      <c r="C20" t="s">
        <v>106</v>
      </c>
      <c r="D20" t="s">
        <v>107</v>
      </c>
      <c r="E20" t="s">
        <v>108</v>
      </c>
      <c r="F20" t="s">
        <v>108</v>
      </c>
      <c r="G20" t="s">
        <v>29</v>
      </c>
      <c r="H20" t="s">
        <v>109</v>
      </c>
      <c r="I20" t="s">
        <v>21</v>
      </c>
      <c r="J20" t="s">
        <v>46</v>
      </c>
      <c r="K20">
        <v>650</v>
      </c>
      <c r="L20">
        <v>4</v>
      </c>
      <c r="M20">
        <v>5</v>
      </c>
      <c r="N20" t="s">
        <v>62</v>
      </c>
    </row>
    <row r="21" spans="1:15" x14ac:dyDescent="0.35">
      <c r="A21" t="s">
        <v>110</v>
      </c>
      <c r="B21" s="1">
        <v>45853</v>
      </c>
      <c r="C21" t="s">
        <v>16</v>
      </c>
      <c r="D21" t="s">
        <v>17</v>
      </c>
      <c r="E21" t="s">
        <v>18</v>
      </c>
      <c r="F21" t="s">
        <v>18</v>
      </c>
      <c r="G21" t="s">
        <v>19</v>
      </c>
      <c r="H21" t="s">
        <v>20</v>
      </c>
      <c r="I21" t="s">
        <v>31</v>
      </c>
      <c r="J21" t="s">
        <v>32</v>
      </c>
      <c r="K21">
        <v>35</v>
      </c>
      <c r="L21">
        <v>25</v>
      </c>
      <c r="M21">
        <v>0</v>
      </c>
      <c r="N21" t="s">
        <v>33</v>
      </c>
      <c r="O21">
        <v>26</v>
      </c>
    </row>
    <row r="22" spans="1:15" x14ac:dyDescent="0.35">
      <c r="A22" t="s">
        <v>111</v>
      </c>
      <c r="B22" s="1">
        <v>45863</v>
      </c>
      <c r="C22" t="s">
        <v>112</v>
      </c>
      <c r="D22" t="s">
        <v>113</v>
      </c>
      <c r="E22" t="s">
        <v>114</v>
      </c>
      <c r="F22" t="s">
        <v>115</v>
      </c>
      <c r="G22" t="s">
        <v>39</v>
      </c>
      <c r="H22" t="s">
        <v>116</v>
      </c>
      <c r="I22" t="s">
        <v>41</v>
      </c>
      <c r="J22" t="s">
        <v>42</v>
      </c>
      <c r="K22">
        <v>40</v>
      </c>
      <c r="L22">
        <v>30</v>
      </c>
      <c r="M22">
        <v>0</v>
      </c>
      <c r="N22" t="s">
        <v>23</v>
      </c>
      <c r="O22">
        <v>42</v>
      </c>
    </row>
    <row r="23" spans="1:15" x14ac:dyDescent="0.35">
      <c r="A23" t="s">
        <v>117</v>
      </c>
      <c r="B23" s="1">
        <v>45870</v>
      </c>
      <c r="C23" t="s">
        <v>64</v>
      </c>
      <c r="D23" t="s">
        <v>65</v>
      </c>
      <c r="E23" t="s">
        <v>66</v>
      </c>
      <c r="F23" t="s">
        <v>67</v>
      </c>
      <c r="G23" t="s">
        <v>39</v>
      </c>
      <c r="H23" t="s">
        <v>68</v>
      </c>
      <c r="I23" t="s">
        <v>21</v>
      </c>
      <c r="J23" t="s">
        <v>22</v>
      </c>
      <c r="K23">
        <v>850</v>
      </c>
      <c r="L23">
        <v>3</v>
      </c>
      <c r="M23">
        <v>0</v>
      </c>
      <c r="N23" t="s">
        <v>43</v>
      </c>
      <c r="O23">
        <v>39</v>
      </c>
    </row>
    <row r="24" spans="1:15" x14ac:dyDescent="0.35">
      <c r="A24" t="s">
        <v>118</v>
      </c>
      <c r="B24" s="1">
        <v>45884</v>
      </c>
      <c r="C24" t="s">
        <v>119</v>
      </c>
      <c r="D24" t="s">
        <v>120</v>
      </c>
      <c r="E24" t="s">
        <v>121</v>
      </c>
      <c r="F24" t="s">
        <v>122</v>
      </c>
      <c r="G24" t="s">
        <v>39</v>
      </c>
      <c r="H24" t="s">
        <v>123</v>
      </c>
      <c r="I24" t="s">
        <v>31</v>
      </c>
      <c r="J24" t="s">
        <v>52</v>
      </c>
      <c r="K24">
        <v>45</v>
      </c>
      <c r="L24">
        <v>18</v>
      </c>
      <c r="M24">
        <v>0</v>
      </c>
      <c r="N24" t="s">
        <v>62</v>
      </c>
    </row>
    <row r="25" spans="1:15" x14ac:dyDescent="0.35">
      <c r="A25" t="s">
        <v>124</v>
      </c>
      <c r="B25" s="1">
        <v>45894</v>
      </c>
      <c r="C25" t="s">
        <v>25</v>
      </c>
      <c r="D25" t="s">
        <v>26</v>
      </c>
      <c r="E25" t="s">
        <v>27</v>
      </c>
      <c r="F25" t="s">
        <v>28</v>
      </c>
      <c r="G25" t="s">
        <v>29</v>
      </c>
      <c r="H25" t="s">
        <v>30</v>
      </c>
      <c r="I25" t="s">
        <v>41</v>
      </c>
      <c r="J25" t="s">
        <v>60</v>
      </c>
      <c r="K25">
        <v>30</v>
      </c>
      <c r="L25">
        <v>40</v>
      </c>
      <c r="M25">
        <v>0</v>
      </c>
      <c r="N25" t="s">
        <v>23</v>
      </c>
      <c r="O25">
        <v>44</v>
      </c>
    </row>
    <row r="26" spans="1:15" x14ac:dyDescent="0.35">
      <c r="A26" t="s">
        <v>125</v>
      </c>
      <c r="B26" s="1">
        <v>45901</v>
      </c>
      <c r="C26" t="s">
        <v>126</v>
      </c>
      <c r="D26" t="s">
        <v>127</v>
      </c>
      <c r="E26" t="s">
        <v>128</v>
      </c>
      <c r="F26" t="s">
        <v>129</v>
      </c>
      <c r="G26" t="s">
        <v>29</v>
      </c>
      <c r="H26" t="s">
        <v>130</v>
      </c>
      <c r="I26" t="s">
        <v>21</v>
      </c>
      <c r="J26" t="s">
        <v>22</v>
      </c>
      <c r="K26">
        <v>850</v>
      </c>
      <c r="L26">
        <v>2</v>
      </c>
      <c r="M26">
        <v>10</v>
      </c>
      <c r="N26" t="s">
        <v>33</v>
      </c>
    </row>
    <row r="27" spans="1:15" x14ac:dyDescent="0.35">
      <c r="A27" t="s">
        <v>131</v>
      </c>
      <c r="B27" s="1">
        <v>45915</v>
      </c>
      <c r="C27" t="s">
        <v>74</v>
      </c>
      <c r="D27" t="s">
        <v>75</v>
      </c>
      <c r="E27" t="s">
        <v>76</v>
      </c>
      <c r="F27" t="s">
        <v>76</v>
      </c>
      <c r="G27" t="s">
        <v>77</v>
      </c>
      <c r="H27" t="s">
        <v>78</v>
      </c>
      <c r="I27" t="s">
        <v>31</v>
      </c>
      <c r="J27" t="s">
        <v>69</v>
      </c>
      <c r="K27">
        <v>55</v>
      </c>
      <c r="L27">
        <v>10</v>
      </c>
      <c r="M27">
        <v>0</v>
      </c>
      <c r="N27" t="s">
        <v>43</v>
      </c>
      <c r="O27">
        <v>34</v>
      </c>
    </row>
    <row r="28" spans="1:15" x14ac:dyDescent="0.35">
      <c r="A28" t="s">
        <v>132</v>
      </c>
      <c r="B28" s="1">
        <v>45925</v>
      </c>
      <c r="C28" t="s">
        <v>133</v>
      </c>
      <c r="D28" t="s">
        <v>134</v>
      </c>
      <c r="E28" t="s">
        <v>135</v>
      </c>
      <c r="F28" t="s">
        <v>135</v>
      </c>
      <c r="G28" t="s">
        <v>29</v>
      </c>
      <c r="H28" t="s">
        <v>136</v>
      </c>
      <c r="I28" t="s">
        <v>41</v>
      </c>
      <c r="J28" t="s">
        <v>72</v>
      </c>
      <c r="K28">
        <v>25</v>
      </c>
      <c r="L28">
        <v>45</v>
      </c>
      <c r="M28">
        <v>0</v>
      </c>
      <c r="N28" t="s">
        <v>62</v>
      </c>
      <c r="O28">
        <v>53</v>
      </c>
    </row>
    <row r="29" spans="1:15" x14ac:dyDescent="0.35">
      <c r="A29" t="s">
        <v>137</v>
      </c>
      <c r="B29" s="1">
        <v>45931</v>
      </c>
      <c r="C29" t="s">
        <v>16</v>
      </c>
      <c r="D29" t="s">
        <v>17</v>
      </c>
      <c r="E29" t="s">
        <v>18</v>
      </c>
      <c r="F29" t="s">
        <v>18</v>
      </c>
      <c r="G29" t="s">
        <v>19</v>
      </c>
      <c r="H29" t="s">
        <v>20</v>
      </c>
      <c r="I29" t="s">
        <v>21</v>
      </c>
      <c r="J29" t="s">
        <v>46</v>
      </c>
      <c r="K29">
        <v>650</v>
      </c>
      <c r="L29">
        <v>5</v>
      </c>
      <c r="M29">
        <v>5</v>
      </c>
      <c r="N29" t="s">
        <v>23</v>
      </c>
      <c r="O29">
        <v>28</v>
      </c>
    </row>
    <row r="30" spans="1:15" x14ac:dyDescent="0.35">
      <c r="A30" t="s">
        <v>138</v>
      </c>
      <c r="B30" s="1">
        <v>45945</v>
      </c>
      <c r="C30" t="s">
        <v>82</v>
      </c>
      <c r="D30" t="s">
        <v>83</v>
      </c>
      <c r="E30" t="s">
        <v>84</v>
      </c>
      <c r="F30" t="s">
        <v>85</v>
      </c>
      <c r="G30" t="s">
        <v>19</v>
      </c>
      <c r="H30" t="s">
        <v>86</v>
      </c>
      <c r="I30" t="s">
        <v>31</v>
      </c>
      <c r="J30" t="s">
        <v>32</v>
      </c>
      <c r="K30">
        <v>35</v>
      </c>
      <c r="L30">
        <v>30</v>
      </c>
      <c r="M30">
        <v>0</v>
      </c>
      <c r="N30" t="s">
        <v>33</v>
      </c>
      <c r="O30">
        <v>30</v>
      </c>
    </row>
    <row r="31" spans="1:15" x14ac:dyDescent="0.35">
      <c r="A31" t="s">
        <v>139</v>
      </c>
      <c r="B31" s="1">
        <v>45955</v>
      </c>
      <c r="C31" t="s">
        <v>35</v>
      </c>
      <c r="D31" t="s">
        <v>36</v>
      </c>
      <c r="E31" t="s">
        <v>37</v>
      </c>
      <c r="F31" t="s">
        <v>38</v>
      </c>
      <c r="G31" t="s">
        <v>39</v>
      </c>
      <c r="H31" t="s">
        <v>40</v>
      </c>
      <c r="I31" t="s">
        <v>41</v>
      </c>
      <c r="J31" t="s">
        <v>42</v>
      </c>
      <c r="K31">
        <v>40</v>
      </c>
      <c r="L31">
        <v>35</v>
      </c>
      <c r="M31">
        <v>0</v>
      </c>
      <c r="N31" t="s">
        <v>43</v>
      </c>
      <c r="O31">
        <v>47</v>
      </c>
    </row>
    <row r="32" spans="1:15" x14ac:dyDescent="0.35">
      <c r="A32" t="s">
        <v>140</v>
      </c>
      <c r="B32" s="1">
        <v>45962</v>
      </c>
      <c r="C32" t="s">
        <v>97</v>
      </c>
      <c r="D32" t="s">
        <v>98</v>
      </c>
      <c r="E32" t="s">
        <v>99</v>
      </c>
      <c r="F32" t="s">
        <v>100</v>
      </c>
      <c r="G32" t="s">
        <v>29</v>
      </c>
      <c r="H32" t="s">
        <v>101</v>
      </c>
      <c r="I32" t="s">
        <v>21</v>
      </c>
      <c r="J32" t="s">
        <v>22</v>
      </c>
      <c r="K32">
        <v>850</v>
      </c>
      <c r="L32">
        <v>6</v>
      </c>
      <c r="M32">
        <v>10</v>
      </c>
      <c r="N32" t="s">
        <v>62</v>
      </c>
    </row>
    <row r="33" spans="1:15" x14ac:dyDescent="0.35">
      <c r="A33" t="s">
        <v>141</v>
      </c>
      <c r="B33" s="1">
        <v>45976</v>
      </c>
      <c r="C33" t="s">
        <v>48</v>
      </c>
      <c r="D33" t="s">
        <v>49</v>
      </c>
      <c r="E33" t="s">
        <v>50</v>
      </c>
      <c r="F33" t="s">
        <v>50</v>
      </c>
      <c r="G33" t="s">
        <v>29</v>
      </c>
      <c r="H33" t="s">
        <v>51</v>
      </c>
      <c r="I33" t="s">
        <v>31</v>
      </c>
      <c r="J33" t="s">
        <v>52</v>
      </c>
      <c r="K33">
        <v>45</v>
      </c>
      <c r="L33">
        <v>20</v>
      </c>
      <c r="M33">
        <v>0</v>
      </c>
      <c r="N33" t="s">
        <v>23</v>
      </c>
      <c r="O33">
        <v>35</v>
      </c>
    </row>
    <row r="34" spans="1:15" x14ac:dyDescent="0.35">
      <c r="A34" t="s">
        <v>142</v>
      </c>
      <c r="B34" s="1">
        <v>45986</v>
      </c>
      <c r="C34" t="s">
        <v>89</v>
      </c>
      <c r="D34" t="s">
        <v>90</v>
      </c>
      <c r="E34" t="s">
        <v>91</v>
      </c>
      <c r="F34" t="s">
        <v>92</v>
      </c>
      <c r="G34" t="s">
        <v>19</v>
      </c>
      <c r="H34" t="s">
        <v>93</v>
      </c>
      <c r="I34" t="s">
        <v>41</v>
      </c>
      <c r="J34" t="s">
        <v>60</v>
      </c>
      <c r="K34">
        <v>30</v>
      </c>
      <c r="L34">
        <v>50</v>
      </c>
      <c r="M34">
        <v>0</v>
      </c>
      <c r="N34" t="s">
        <v>53</v>
      </c>
      <c r="O34">
        <v>41</v>
      </c>
    </row>
    <row r="35" spans="1:15" x14ac:dyDescent="0.35">
      <c r="A35" t="s">
        <v>143</v>
      </c>
      <c r="B35" s="1">
        <v>45992</v>
      </c>
      <c r="C35" t="s">
        <v>25</v>
      </c>
      <c r="D35" t="s">
        <v>26</v>
      </c>
      <c r="E35" t="s">
        <v>27</v>
      </c>
      <c r="F35" t="s">
        <v>28</v>
      </c>
      <c r="G35" t="s">
        <v>29</v>
      </c>
      <c r="H35" t="s">
        <v>30</v>
      </c>
      <c r="I35" t="s">
        <v>21</v>
      </c>
      <c r="J35" t="s">
        <v>22</v>
      </c>
      <c r="K35">
        <v>850</v>
      </c>
      <c r="L35">
        <v>8</v>
      </c>
      <c r="M35">
        <v>15</v>
      </c>
      <c r="N35" t="s">
        <v>43</v>
      </c>
    </row>
    <row r="36" spans="1:15" x14ac:dyDescent="0.35">
      <c r="A36" t="s">
        <v>144</v>
      </c>
      <c r="B36" s="1">
        <v>46006</v>
      </c>
      <c r="C36" t="s">
        <v>55</v>
      </c>
      <c r="D36" t="s">
        <v>56</v>
      </c>
      <c r="E36" t="s">
        <v>57</v>
      </c>
      <c r="F36" t="s">
        <v>58</v>
      </c>
      <c r="G36" t="s">
        <v>19</v>
      </c>
      <c r="H36" t="s">
        <v>59</v>
      </c>
      <c r="I36" t="s">
        <v>31</v>
      </c>
      <c r="J36" t="s">
        <v>69</v>
      </c>
      <c r="K36">
        <v>55</v>
      </c>
      <c r="L36">
        <v>12</v>
      </c>
      <c r="M36">
        <v>0</v>
      </c>
      <c r="N36" t="s">
        <v>62</v>
      </c>
      <c r="O36">
        <v>32</v>
      </c>
    </row>
    <row r="37" spans="1:15" x14ac:dyDescent="0.35">
      <c r="A37" t="s">
        <v>145</v>
      </c>
      <c r="B37" s="1">
        <v>46016</v>
      </c>
      <c r="C37" t="s">
        <v>16</v>
      </c>
      <c r="D37" t="s">
        <v>17</v>
      </c>
      <c r="E37" t="s">
        <v>18</v>
      </c>
      <c r="F37" t="s">
        <v>18</v>
      </c>
      <c r="G37" t="s">
        <v>19</v>
      </c>
      <c r="H37" t="s">
        <v>20</v>
      </c>
      <c r="I37" t="s">
        <v>41</v>
      </c>
      <c r="J37" t="s">
        <v>42</v>
      </c>
      <c r="K37">
        <v>40</v>
      </c>
      <c r="L37">
        <v>40</v>
      </c>
      <c r="M37">
        <v>0</v>
      </c>
      <c r="N37" t="s">
        <v>23</v>
      </c>
      <c r="O37">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989D0-BA24-45B2-88B0-67B6A66DA7F6}">
  <dimension ref="A1:U37"/>
  <sheetViews>
    <sheetView tabSelected="1" topLeftCell="D1" zoomScale="96" zoomScaleNormal="96" workbookViewId="0">
      <selection activeCell="G1" sqref="G1"/>
    </sheetView>
  </sheetViews>
  <sheetFormatPr defaultRowHeight="26" customHeight="1" x14ac:dyDescent="0.35"/>
  <cols>
    <col min="1" max="1" width="10" bestFit="1" customWidth="1"/>
    <col min="2" max="2" width="8.453125" style="2" bestFit="1" customWidth="1"/>
    <col min="3" max="5" width="8.453125" style="2" customWidth="1"/>
    <col min="6" max="6" width="9.81640625" bestFit="1" customWidth="1"/>
    <col min="7" max="7" width="17.6328125" customWidth="1"/>
    <col min="8" max="8" width="10.1796875" customWidth="1"/>
    <col min="9" max="9" width="22.26953125" customWidth="1"/>
    <col min="11" max="11" width="13.08984375" customWidth="1"/>
    <col min="12" max="12" width="10.54296875" bestFit="1" customWidth="1"/>
    <col min="13" max="13" width="9.7265625" bestFit="1" customWidth="1"/>
    <col min="14" max="14" width="7.1796875" bestFit="1" customWidth="1"/>
    <col min="15" max="15" width="6.08984375" bestFit="1" customWidth="1"/>
    <col min="16" max="16" width="6.453125" bestFit="1" customWidth="1"/>
    <col min="17" max="17" width="14.08984375" style="3" customWidth="1"/>
    <col min="18" max="18" width="12.36328125" bestFit="1" customWidth="1"/>
    <col min="19" max="19" width="6.1796875" bestFit="1" customWidth="1"/>
  </cols>
  <sheetData>
    <row r="1" spans="1:21" ht="26" customHeight="1" x14ac:dyDescent="0.35">
      <c r="A1" t="s">
        <v>0</v>
      </c>
      <c r="B1" s="2" t="s">
        <v>1</v>
      </c>
      <c r="C1" s="2" t="s">
        <v>185</v>
      </c>
      <c r="D1" s="2" t="s">
        <v>186</v>
      </c>
      <c r="E1" s="2" t="s">
        <v>187</v>
      </c>
      <c r="F1" t="s">
        <v>2</v>
      </c>
      <c r="G1" t="s">
        <v>146</v>
      </c>
      <c r="H1" t="s">
        <v>148</v>
      </c>
      <c r="I1" t="s">
        <v>184</v>
      </c>
      <c r="J1" t="s">
        <v>6</v>
      </c>
      <c r="K1" t="s">
        <v>150</v>
      </c>
      <c r="L1" t="s">
        <v>8</v>
      </c>
      <c r="M1" t="s">
        <v>9</v>
      </c>
      <c r="N1" t="s">
        <v>10</v>
      </c>
      <c r="O1" t="s">
        <v>11</v>
      </c>
      <c r="P1" t="s">
        <v>12</v>
      </c>
      <c r="Q1" s="3" t="s">
        <v>219</v>
      </c>
      <c r="R1" t="s">
        <v>13</v>
      </c>
      <c r="S1" t="s">
        <v>14</v>
      </c>
    </row>
    <row r="2" spans="1:21" ht="26" customHeight="1" x14ac:dyDescent="0.35">
      <c r="A2" t="s">
        <v>15</v>
      </c>
      <c r="B2" s="2">
        <v>45672</v>
      </c>
      <c r="C2" s="2">
        <f>YEAR(Table1[[#This Row],[Date]])</f>
        <v>2025</v>
      </c>
      <c r="D2" s="2" t="str">
        <f>TEXT(Table1[[#This Row],[Date]], "mmm")</f>
        <v>Jan</v>
      </c>
      <c r="E2" s="2" t="str">
        <f t="shared" ref="E2:E37" si="0">"Q" &amp; ROUNDUP(MONTH(B2)/3,0)</f>
        <v>Q1</v>
      </c>
      <c r="F2" t="s">
        <v>16</v>
      </c>
      <c r="G2" t="s">
        <v>17</v>
      </c>
      <c r="H2" t="s">
        <v>18</v>
      </c>
      <c r="I2" t="str">
        <f>VLOOKUP(Table1[[#This Row],[Location Clean]],StateLookup,2,FALSE)</f>
        <v>Lagos State</v>
      </c>
      <c r="J2" t="s">
        <v>19</v>
      </c>
      <c r="K2" t="s">
        <v>151</v>
      </c>
      <c r="L2" t="s">
        <v>21</v>
      </c>
      <c r="M2" t="s">
        <v>22</v>
      </c>
      <c r="N2">
        <v>850</v>
      </c>
      <c r="O2">
        <v>3</v>
      </c>
      <c r="P2">
        <v>0</v>
      </c>
      <c r="Q2" s="3">
        <f>Table1[[#This Row],[Price]]*Table1[[#This Row],[Qty]]* (1- P2/100)</f>
        <v>2550</v>
      </c>
      <c r="R2" t="s">
        <v>23</v>
      </c>
      <c r="S2">
        <v>34</v>
      </c>
      <c r="U2">
        <f>AVERAGE(S2:S36)</f>
        <v>36.542857142857144</v>
      </c>
    </row>
    <row r="3" spans="1:21" ht="26" customHeight="1" x14ac:dyDescent="0.35">
      <c r="A3" t="s">
        <v>24</v>
      </c>
      <c r="B3" s="2">
        <v>45677</v>
      </c>
      <c r="C3" s="2">
        <f>YEAR(Table1[[#This Row],[Date]])</f>
        <v>2025</v>
      </c>
      <c r="D3" s="2" t="str">
        <f>TEXT(Table1[[#This Row],[Date]], "mmm")</f>
        <v>Jan</v>
      </c>
      <c r="E3" s="2" t="str">
        <f t="shared" si="0"/>
        <v>Q1</v>
      </c>
      <c r="F3" t="s">
        <v>25</v>
      </c>
      <c r="G3" t="s">
        <v>26</v>
      </c>
      <c r="H3" t="s">
        <v>27</v>
      </c>
      <c r="I3" t="str">
        <f>VLOOKUP(Table1[[#This Row],[Location Clean]],StateLookup,2,FALSE)</f>
        <v>Federal Capital Territory</v>
      </c>
      <c r="J3" t="s">
        <v>29</v>
      </c>
      <c r="K3" t="s">
        <v>152</v>
      </c>
      <c r="L3" t="s">
        <v>31</v>
      </c>
      <c r="M3" t="s">
        <v>32</v>
      </c>
      <c r="N3">
        <v>35</v>
      </c>
      <c r="O3">
        <v>10</v>
      </c>
      <c r="P3">
        <v>10</v>
      </c>
      <c r="Q3" s="3">
        <f>Table1[[#This Row],[Price]]*Table1[[#This Row],[Qty]]* (1- P3/100)</f>
        <v>315</v>
      </c>
      <c r="R3" t="s">
        <v>53</v>
      </c>
      <c r="S3">
        <v>28</v>
      </c>
    </row>
    <row r="4" spans="1:21" ht="26" customHeight="1" x14ac:dyDescent="0.35">
      <c r="A4" t="s">
        <v>34</v>
      </c>
      <c r="B4" s="2">
        <v>45682</v>
      </c>
      <c r="C4" s="2">
        <f>YEAR(Table1[[#This Row],[Date]])</f>
        <v>2025</v>
      </c>
      <c r="D4" s="2" t="str">
        <f>TEXT(Table1[[#This Row],[Date]], "mmm")</f>
        <v>Jan</v>
      </c>
      <c r="E4" s="2" t="str">
        <f t="shared" si="0"/>
        <v>Q1</v>
      </c>
      <c r="F4" t="s">
        <v>35</v>
      </c>
      <c r="G4" t="s">
        <v>147</v>
      </c>
      <c r="H4" t="s">
        <v>149</v>
      </c>
      <c r="I4" t="str">
        <f>VLOOKUP(Table1[[#This Row],[Location Clean]],StateLookup,2,FALSE)</f>
        <v>Rivers State</v>
      </c>
      <c r="J4" t="s">
        <v>39</v>
      </c>
      <c r="K4" t="s">
        <v>153</v>
      </c>
      <c r="L4" t="s">
        <v>41</v>
      </c>
      <c r="M4" t="s">
        <v>42</v>
      </c>
      <c r="N4">
        <v>40</v>
      </c>
      <c r="O4">
        <v>20</v>
      </c>
      <c r="P4">
        <v>0</v>
      </c>
      <c r="Q4" s="3">
        <f>Table1[[#This Row],[Price]]*Table1[[#This Row],[Qty]]* (1- P4/100)</f>
        <v>800</v>
      </c>
      <c r="R4" t="s">
        <v>43</v>
      </c>
      <c r="S4">
        <v>45</v>
      </c>
    </row>
    <row r="5" spans="1:21" ht="26" customHeight="1" x14ac:dyDescent="0.35">
      <c r="A5" t="s">
        <v>44</v>
      </c>
      <c r="B5" s="2">
        <v>45690</v>
      </c>
      <c r="C5" s="2">
        <f>YEAR(Table1[[#This Row],[Date]])</f>
        <v>2025</v>
      </c>
      <c r="D5" s="2" t="str">
        <f>TEXT(Table1[[#This Row],[Date]], "mmm")</f>
        <v>Feb</v>
      </c>
      <c r="E5" s="2" t="str">
        <f t="shared" si="0"/>
        <v>Q1</v>
      </c>
      <c r="F5" t="s">
        <v>16</v>
      </c>
      <c r="G5" t="s">
        <v>17</v>
      </c>
      <c r="H5" t="s">
        <v>18</v>
      </c>
      <c r="I5" t="str">
        <f>VLOOKUP(Table1[[#This Row],[Location Clean]],StateLookup,2,FALSE)</f>
        <v>Lagos State</v>
      </c>
      <c r="J5" t="s">
        <v>19</v>
      </c>
      <c r="K5" t="s">
        <v>154</v>
      </c>
      <c r="L5" t="s">
        <v>21</v>
      </c>
      <c r="M5" t="s">
        <v>46</v>
      </c>
      <c r="N5">
        <v>650</v>
      </c>
      <c r="O5">
        <v>2</v>
      </c>
      <c r="P5">
        <v>5</v>
      </c>
      <c r="Q5" s="3">
        <f>Table1[[#This Row],[Price]]*Table1[[#This Row],[Qty]]* (1- P5/100)</f>
        <v>1235</v>
      </c>
      <c r="R5" t="s">
        <v>23</v>
      </c>
      <c r="S5">
        <f>IF(ISBLANK(S2), 37, S2)</f>
        <v>34</v>
      </c>
    </row>
    <row r="6" spans="1:21" ht="26" customHeight="1" x14ac:dyDescent="0.35">
      <c r="A6" t="s">
        <v>47</v>
      </c>
      <c r="B6" s="2">
        <v>45698</v>
      </c>
      <c r="C6" s="2">
        <f>YEAR(Table1[[#This Row],[Date]])</f>
        <v>2025</v>
      </c>
      <c r="D6" s="2" t="str">
        <f>TEXT(Table1[[#This Row],[Date]], "mmm")</f>
        <v>Feb</v>
      </c>
      <c r="E6" s="2" t="str">
        <f t="shared" si="0"/>
        <v>Q1</v>
      </c>
      <c r="F6" t="s">
        <v>48</v>
      </c>
      <c r="G6" t="s">
        <v>49</v>
      </c>
      <c r="H6" t="s">
        <v>50</v>
      </c>
      <c r="I6" t="str">
        <f>VLOOKUP(Table1[[#This Row],[Location Clean]],StateLookup,2,FALSE)</f>
        <v>Kano State</v>
      </c>
      <c r="J6" t="s">
        <v>29</v>
      </c>
      <c r="K6" t="s">
        <v>155</v>
      </c>
      <c r="L6" t="s">
        <v>31</v>
      </c>
      <c r="M6" t="s">
        <v>52</v>
      </c>
      <c r="N6">
        <v>45</v>
      </c>
      <c r="O6">
        <v>15</v>
      </c>
      <c r="P6">
        <v>0</v>
      </c>
      <c r="Q6" s="3">
        <f>Table1[[#This Row],[Price]]*Table1[[#This Row],[Qty]]* (1- P6/100)</f>
        <v>675</v>
      </c>
      <c r="R6" t="s">
        <v>53</v>
      </c>
      <c r="S6">
        <v>32</v>
      </c>
    </row>
    <row r="7" spans="1:21" ht="26" customHeight="1" x14ac:dyDescent="0.35">
      <c r="A7" t="s">
        <v>54</v>
      </c>
      <c r="B7" s="2">
        <v>45703</v>
      </c>
      <c r="C7" s="2">
        <f>YEAR(Table1[[#This Row],[Date]])</f>
        <v>2025</v>
      </c>
      <c r="D7" s="2" t="str">
        <f>TEXT(Table1[[#This Row],[Date]], "mmm")</f>
        <v>Feb</v>
      </c>
      <c r="E7" s="2" t="str">
        <f t="shared" si="0"/>
        <v>Q1</v>
      </c>
      <c r="F7" t="s">
        <v>55</v>
      </c>
      <c r="G7" t="s">
        <v>56</v>
      </c>
      <c r="H7" t="s">
        <v>57</v>
      </c>
      <c r="I7" t="str">
        <f>VLOOKUP(Table1[[#This Row],[Location Clean]],StateLookup,2,FALSE)</f>
        <v>Oyo State</v>
      </c>
      <c r="J7" t="s">
        <v>19</v>
      </c>
      <c r="K7" t="s">
        <v>156</v>
      </c>
      <c r="L7" t="s">
        <v>41</v>
      </c>
      <c r="M7" t="s">
        <v>60</v>
      </c>
      <c r="N7">
        <v>30</v>
      </c>
      <c r="O7">
        <v>30</v>
      </c>
      <c r="P7">
        <v>0</v>
      </c>
      <c r="Q7" s="3">
        <f>Table1[[#This Row],[Price]]*Table1[[#This Row],[Qty]]* (1- P7/100)</f>
        <v>900</v>
      </c>
      <c r="R7" t="s">
        <v>43</v>
      </c>
      <c r="S7">
        <v>38</v>
      </c>
    </row>
    <row r="8" spans="1:21" ht="26" customHeight="1" x14ac:dyDescent="0.35">
      <c r="A8" t="s">
        <v>61</v>
      </c>
      <c r="B8" s="2">
        <v>45717</v>
      </c>
      <c r="C8" s="2">
        <f>YEAR(Table1[[#This Row],[Date]])</f>
        <v>2025</v>
      </c>
      <c r="D8" s="2" t="str">
        <f>TEXT(Table1[[#This Row],[Date]], "mmm")</f>
        <v>Mar</v>
      </c>
      <c r="E8" s="2" t="str">
        <f t="shared" si="0"/>
        <v>Q1</v>
      </c>
      <c r="F8" t="s">
        <v>25</v>
      </c>
      <c r="G8" t="s">
        <v>26</v>
      </c>
      <c r="H8" t="s">
        <v>27</v>
      </c>
      <c r="I8" t="str">
        <f>VLOOKUP(Table1[[#This Row],[Location Clean]],StateLookup,2,FALSE)</f>
        <v>Federal Capital Territory</v>
      </c>
      <c r="J8" t="s">
        <v>29</v>
      </c>
      <c r="K8" t="s">
        <v>152</v>
      </c>
      <c r="L8" t="s">
        <v>21</v>
      </c>
      <c r="M8" t="s">
        <v>22</v>
      </c>
      <c r="N8">
        <v>850</v>
      </c>
      <c r="O8">
        <v>4</v>
      </c>
      <c r="P8">
        <v>10</v>
      </c>
      <c r="Q8" s="3">
        <f>Table1[[#This Row],[Price]]*Table1[[#This Row],[Qty]]* (1- P8/100)</f>
        <v>3060</v>
      </c>
      <c r="R8" t="s">
        <v>23</v>
      </c>
      <c r="S8">
        <v>41</v>
      </c>
    </row>
    <row r="9" spans="1:21" ht="26" customHeight="1" x14ac:dyDescent="0.35">
      <c r="A9" t="s">
        <v>63</v>
      </c>
      <c r="B9" s="2">
        <v>45726</v>
      </c>
      <c r="C9" s="2">
        <f>YEAR(Table1[[#This Row],[Date]])</f>
        <v>2025</v>
      </c>
      <c r="D9" s="2" t="str">
        <f>TEXT(Table1[[#This Row],[Date]], "mmm")</f>
        <v>Mar</v>
      </c>
      <c r="E9" s="2" t="str">
        <f t="shared" si="0"/>
        <v>Q1</v>
      </c>
      <c r="F9" t="s">
        <v>64</v>
      </c>
      <c r="G9" t="s">
        <v>65</v>
      </c>
      <c r="H9" t="s">
        <v>66</v>
      </c>
      <c r="I9" t="str">
        <f>VLOOKUP(Table1[[#This Row],[Location Clean]],StateLookup,2,FALSE)</f>
        <v>Edo State</v>
      </c>
      <c r="J9" t="s">
        <v>39</v>
      </c>
      <c r="K9" t="s">
        <v>157</v>
      </c>
      <c r="L9" t="s">
        <v>31</v>
      </c>
      <c r="M9" t="s">
        <v>69</v>
      </c>
      <c r="N9">
        <v>55</v>
      </c>
      <c r="O9">
        <v>8</v>
      </c>
      <c r="P9">
        <v>0</v>
      </c>
      <c r="Q9" s="3">
        <f>Table1[[#This Row],[Price]]*Table1[[#This Row],[Qty]]* (1- P9/100)</f>
        <v>440</v>
      </c>
      <c r="R9" t="s">
        <v>23</v>
      </c>
      <c r="S9">
        <v>29</v>
      </c>
    </row>
    <row r="10" spans="1:21" ht="26" customHeight="1" x14ac:dyDescent="0.35">
      <c r="A10" t="s">
        <v>71</v>
      </c>
      <c r="B10" s="2">
        <v>45736</v>
      </c>
      <c r="C10" s="2">
        <f>YEAR(Table1[[#This Row],[Date]])</f>
        <v>2025</v>
      </c>
      <c r="D10" s="2" t="str">
        <f>TEXT(Table1[[#This Row],[Date]], "mmm")</f>
        <v>Mar</v>
      </c>
      <c r="E10" s="2" t="str">
        <f t="shared" si="0"/>
        <v>Q1</v>
      </c>
      <c r="F10" t="s">
        <v>35</v>
      </c>
      <c r="G10" t="s">
        <v>147</v>
      </c>
      <c r="H10" t="s">
        <v>149</v>
      </c>
      <c r="I10" t="str">
        <f>VLOOKUP(Table1[[#This Row],[Location Clean]],StateLookup,2,FALSE)</f>
        <v>Rivers State</v>
      </c>
      <c r="J10" t="s">
        <v>39</v>
      </c>
      <c r="K10" t="s">
        <v>153</v>
      </c>
      <c r="L10" t="s">
        <v>41</v>
      </c>
      <c r="M10" t="s">
        <v>72</v>
      </c>
      <c r="N10">
        <v>25</v>
      </c>
      <c r="O10">
        <v>40</v>
      </c>
      <c r="P10">
        <v>0</v>
      </c>
      <c r="Q10" s="3">
        <f>Table1[[#This Row],[Price]]*Table1[[#This Row],[Qty]]* (1- P10/100)</f>
        <v>1000</v>
      </c>
      <c r="R10" t="s">
        <v>53</v>
      </c>
      <c r="S10">
        <v>52</v>
      </c>
    </row>
    <row r="11" spans="1:21" ht="26" customHeight="1" x14ac:dyDescent="0.35">
      <c r="A11" t="s">
        <v>73</v>
      </c>
      <c r="B11" s="2">
        <v>45752</v>
      </c>
      <c r="C11" s="2">
        <f>YEAR(Table1[[#This Row],[Date]])</f>
        <v>2025</v>
      </c>
      <c r="D11" s="2" t="str">
        <f>TEXT(Table1[[#This Row],[Date]], "mmm")</f>
        <v>Apr</v>
      </c>
      <c r="E11" s="2" t="str">
        <f t="shared" si="0"/>
        <v>Q2</v>
      </c>
      <c r="F11" t="s">
        <v>74</v>
      </c>
      <c r="G11" t="s">
        <v>75</v>
      </c>
      <c r="H11" t="s">
        <v>76</v>
      </c>
      <c r="I11" t="str">
        <f>VLOOKUP(Table1[[#This Row],[Location Clean]],StateLookup,2,FALSE)</f>
        <v>Enugu State</v>
      </c>
      <c r="J11" t="s">
        <v>77</v>
      </c>
      <c r="K11" t="s">
        <v>158</v>
      </c>
      <c r="L11" t="s">
        <v>21</v>
      </c>
      <c r="M11" t="s">
        <v>22</v>
      </c>
      <c r="N11">
        <v>850</v>
      </c>
      <c r="O11">
        <v>2</v>
      </c>
      <c r="P11">
        <v>0</v>
      </c>
      <c r="Q11" s="3">
        <f>Table1[[#This Row],[Price]]*Table1[[#This Row],[Qty]]* (1- P11/100)</f>
        <v>1700</v>
      </c>
      <c r="R11" t="s">
        <v>43</v>
      </c>
      <c r="S11">
        <f>IF(ISBLANK(S8), 37, S8)</f>
        <v>41</v>
      </c>
    </row>
    <row r="12" spans="1:21" ht="26" customHeight="1" x14ac:dyDescent="0.35">
      <c r="A12" t="s">
        <v>79</v>
      </c>
      <c r="B12" s="2">
        <v>45762</v>
      </c>
      <c r="C12" s="2">
        <f>YEAR(Table1[[#This Row],[Date]])</f>
        <v>2025</v>
      </c>
      <c r="D12" s="2" t="str">
        <f>TEXT(Table1[[#This Row],[Date]], "mmm")</f>
        <v>Apr</v>
      </c>
      <c r="E12" s="2" t="str">
        <f t="shared" si="0"/>
        <v>Q2</v>
      </c>
      <c r="F12" t="s">
        <v>16</v>
      </c>
      <c r="G12" t="s">
        <v>17</v>
      </c>
      <c r="H12" t="s">
        <v>18</v>
      </c>
      <c r="I12" t="str">
        <f>VLOOKUP(Table1[[#This Row],[Location Clean]],StateLookup,2,FALSE)</f>
        <v>Lagos State</v>
      </c>
      <c r="J12" t="s">
        <v>19</v>
      </c>
      <c r="K12" t="s">
        <v>151</v>
      </c>
      <c r="L12" t="s">
        <v>31</v>
      </c>
      <c r="M12" t="s">
        <v>32</v>
      </c>
      <c r="N12">
        <v>35</v>
      </c>
      <c r="O12">
        <v>20</v>
      </c>
      <c r="P12">
        <v>5</v>
      </c>
      <c r="Q12" s="3">
        <f>Table1[[#This Row],[Price]]*Table1[[#This Row],[Qty]]* (1- P12/100)</f>
        <v>665</v>
      </c>
      <c r="R12" t="s">
        <v>23</v>
      </c>
      <c r="S12">
        <v>27</v>
      </c>
    </row>
    <row r="13" spans="1:21" ht="26" customHeight="1" x14ac:dyDescent="0.35">
      <c r="A13" t="s">
        <v>81</v>
      </c>
      <c r="B13" s="2">
        <v>45772</v>
      </c>
      <c r="C13" s="2">
        <f>YEAR(Table1[[#This Row],[Date]])</f>
        <v>2025</v>
      </c>
      <c r="D13" s="2" t="str">
        <f>TEXT(Table1[[#This Row],[Date]], "mmm")</f>
        <v>Apr</v>
      </c>
      <c r="E13" s="2" t="str">
        <f t="shared" si="0"/>
        <v>Q2</v>
      </c>
      <c r="F13" t="s">
        <v>82</v>
      </c>
      <c r="G13" t="s">
        <v>83</v>
      </c>
      <c r="H13" t="s">
        <v>84</v>
      </c>
      <c r="I13" t="str">
        <f>VLOOKUP(Table1[[#This Row],[Location Clean]],StateLookup,2,FALSE)</f>
        <v>Kwara State</v>
      </c>
      <c r="J13" t="s">
        <v>19</v>
      </c>
      <c r="K13" t="s">
        <v>164</v>
      </c>
      <c r="L13" t="s">
        <v>41</v>
      </c>
      <c r="M13" t="s">
        <v>42</v>
      </c>
      <c r="N13">
        <v>40</v>
      </c>
      <c r="O13">
        <v>25</v>
      </c>
      <c r="P13">
        <v>0</v>
      </c>
      <c r="Q13" s="3">
        <f>Table1[[#This Row],[Price]]*Table1[[#This Row],[Qty]]* (1- P13/100)</f>
        <v>1000</v>
      </c>
      <c r="R13" t="s">
        <v>53</v>
      </c>
      <c r="S13">
        <f>IF(ISBLANK(S10), 37, S10)</f>
        <v>52</v>
      </c>
    </row>
    <row r="14" spans="1:21" ht="26" customHeight="1" x14ac:dyDescent="0.35">
      <c r="A14" t="s">
        <v>87</v>
      </c>
      <c r="B14" s="2">
        <v>45778</v>
      </c>
      <c r="C14" s="2">
        <f>YEAR(Table1[[#This Row],[Date]])</f>
        <v>2025</v>
      </c>
      <c r="D14" s="2" t="str">
        <f>TEXT(Table1[[#This Row],[Date]], "mmm")</f>
        <v>May</v>
      </c>
      <c r="E14" s="2" t="str">
        <f t="shared" si="0"/>
        <v>Q2</v>
      </c>
      <c r="F14" t="s">
        <v>48</v>
      </c>
      <c r="G14" t="s">
        <v>49</v>
      </c>
      <c r="H14" t="s">
        <v>50</v>
      </c>
      <c r="I14" t="str">
        <f>VLOOKUP(Table1[[#This Row],[Location Clean]],StateLookup,2,FALSE)</f>
        <v>Kano State</v>
      </c>
      <c r="J14" t="s">
        <v>29</v>
      </c>
      <c r="K14" t="s">
        <v>155</v>
      </c>
      <c r="L14" t="s">
        <v>21</v>
      </c>
      <c r="M14" t="s">
        <v>46</v>
      </c>
      <c r="N14">
        <v>650</v>
      </c>
      <c r="O14">
        <v>3</v>
      </c>
      <c r="P14">
        <v>0</v>
      </c>
      <c r="Q14" s="3">
        <f>Table1[[#This Row],[Price]]*Table1[[#This Row],[Qty]]* (1- P14/100)</f>
        <v>1950</v>
      </c>
      <c r="R14" t="s">
        <v>23</v>
      </c>
      <c r="S14">
        <v>33</v>
      </c>
    </row>
    <row r="15" spans="1:21" ht="26" customHeight="1" x14ac:dyDescent="0.35">
      <c r="A15" t="s">
        <v>88</v>
      </c>
      <c r="B15" s="2">
        <v>45792</v>
      </c>
      <c r="C15" s="2">
        <f>YEAR(Table1[[#This Row],[Date]])</f>
        <v>2025</v>
      </c>
      <c r="D15" s="2" t="str">
        <f>TEXT(Table1[[#This Row],[Date]], "mmm")</f>
        <v>May</v>
      </c>
      <c r="E15" s="2" t="str">
        <f t="shared" si="0"/>
        <v>Q2</v>
      </c>
      <c r="F15" t="s">
        <v>89</v>
      </c>
      <c r="G15" t="s">
        <v>90</v>
      </c>
      <c r="H15" t="s">
        <v>91</v>
      </c>
      <c r="I15" t="str">
        <f>VLOOKUP(Table1[[#This Row],[Location Clean]],StateLookup,2,FALSE)</f>
        <v>Ogun State</v>
      </c>
      <c r="J15" t="s">
        <v>19</v>
      </c>
      <c r="K15" t="s">
        <v>162</v>
      </c>
      <c r="L15" t="s">
        <v>31</v>
      </c>
      <c r="M15" t="s">
        <v>52</v>
      </c>
      <c r="N15">
        <v>45</v>
      </c>
      <c r="O15">
        <v>12</v>
      </c>
      <c r="P15">
        <v>0</v>
      </c>
      <c r="Q15" s="3">
        <f>Table1[[#This Row],[Price]]*Table1[[#This Row],[Qty]]* (1- P15/100)</f>
        <v>540</v>
      </c>
      <c r="R15" t="s">
        <v>43</v>
      </c>
      <c r="S15">
        <f>IF(ISBLANK(S12), 37, S12)</f>
        <v>27</v>
      </c>
    </row>
    <row r="16" spans="1:21" ht="26" customHeight="1" x14ac:dyDescent="0.35">
      <c r="A16" t="s">
        <v>94</v>
      </c>
      <c r="B16" s="2">
        <v>45802</v>
      </c>
      <c r="C16" s="2">
        <f>YEAR(Table1[[#This Row],[Date]])</f>
        <v>2025</v>
      </c>
      <c r="D16" s="2" t="str">
        <f>TEXT(Table1[[#This Row],[Date]], "mmm")</f>
        <v>May</v>
      </c>
      <c r="E16" s="2" t="str">
        <f t="shared" si="0"/>
        <v>Q2</v>
      </c>
      <c r="F16" t="s">
        <v>25</v>
      </c>
      <c r="G16" t="s">
        <v>26</v>
      </c>
      <c r="H16" t="s">
        <v>27</v>
      </c>
      <c r="I16" t="str">
        <f>VLOOKUP(Table1[[#This Row],[Location Clean]],StateLookup,2,FALSE)</f>
        <v>Federal Capital Territory</v>
      </c>
      <c r="J16" t="s">
        <v>29</v>
      </c>
      <c r="K16" t="s">
        <v>152</v>
      </c>
      <c r="L16" t="s">
        <v>41</v>
      </c>
      <c r="M16" t="s">
        <v>60</v>
      </c>
      <c r="N16">
        <v>30</v>
      </c>
      <c r="O16">
        <v>35</v>
      </c>
      <c r="P16">
        <v>0</v>
      </c>
      <c r="Q16" s="3">
        <f>Table1[[#This Row],[Price]]*Table1[[#This Row],[Qty]]* (1- P16/100)</f>
        <v>1050</v>
      </c>
      <c r="R16" t="s">
        <v>23</v>
      </c>
      <c r="S16">
        <v>43</v>
      </c>
    </row>
    <row r="17" spans="1:19" ht="26" customHeight="1" x14ac:dyDescent="0.35">
      <c r="A17" t="s">
        <v>96</v>
      </c>
      <c r="B17" s="2">
        <v>45809</v>
      </c>
      <c r="C17" s="2">
        <f>YEAR(Table1[[#This Row],[Date]])</f>
        <v>2025</v>
      </c>
      <c r="D17" s="2" t="str">
        <f>TEXT(Table1[[#This Row],[Date]], "mmm")</f>
        <v>Jun</v>
      </c>
      <c r="E17" s="2" t="str">
        <f t="shared" si="0"/>
        <v>Q2</v>
      </c>
      <c r="F17" t="s">
        <v>97</v>
      </c>
      <c r="G17" t="s">
        <v>98</v>
      </c>
      <c r="H17" t="s">
        <v>99</v>
      </c>
      <c r="I17" t="str">
        <f>VLOOKUP(Table1[[#This Row],[Location Clean]],StateLookup,2,FALSE)</f>
        <v>Plateau State</v>
      </c>
      <c r="J17" t="s">
        <v>29</v>
      </c>
      <c r="K17" t="s">
        <v>163</v>
      </c>
      <c r="L17" t="s">
        <v>21</v>
      </c>
      <c r="M17" t="s">
        <v>22</v>
      </c>
      <c r="N17">
        <v>850</v>
      </c>
      <c r="O17">
        <v>5</v>
      </c>
      <c r="P17">
        <v>10</v>
      </c>
      <c r="Q17" s="3">
        <f>Table1[[#This Row],[Price]]*Table1[[#This Row],[Qty]]* (1- P17/100)</f>
        <v>3825</v>
      </c>
      <c r="R17" t="s">
        <v>53</v>
      </c>
      <c r="S17">
        <v>36</v>
      </c>
    </row>
    <row r="18" spans="1:19" ht="26" customHeight="1" x14ac:dyDescent="0.35">
      <c r="A18" t="s">
        <v>102</v>
      </c>
      <c r="B18" s="2">
        <v>45823</v>
      </c>
      <c r="C18" s="2">
        <f>YEAR(Table1[[#This Row],[Date]])</f>
        <v>2025</v>
      </c>
      <c r="D18" s="2" t="str">
        <f>TEXT(Table1[[#This Row],[Date]], "mmm")</f>
        <v>Jun</v>
      </c>
      <c r="E18" s="2" t="str">
        <f t="shared" si="0"/>
        <v>Q2</v>
      </c>
      <c r="F18" t="s">
        <v>55</v>
      </c>
      <c r="G18" t="s">
        <v>56</v>
      </c>
      <c r="H18" t="s">
        <v>57</v>
      </c>
      <c r="I18" t="str">
        <f>VLOOKUP(Table1[[#This Row],[Location Clean]],StateLookup,2,FALSE)</f>
        <v>Oyo State</v>
      </c>
      <c r="J18" t="s">
        <v>19</v>
      </c>
      <c r="K18" t="s">
        <v>156</v>
      </c>
      <c r="L18" t="s">
        <v>31</v>
      </c>
      <c r="M18" t="s">
        <v>69</v>
      </c>
      <c r="N18">
        <v>55</v>
      </c>
      <c r="O18">
        <v>6</v>
      </c>
      <c r="P18">
        <v>0</v>
      </c>
      <c r="Q18" s="3">
        <f>Table1[[#This Row],[Price]]*Table1[[#This Row],[Qty]]* (1- P18/100)</f>
        <v>330</v>
      </c>
      <c r="R18" t="s">
        <v>23</v>
      </c>
      <c r="S18">
        <v>31</v>
      </c>
    </row>
    <row r="19" spans="1:19" ht="26" customHeight="1" x14ac:dyDescent="0.35">
      <c r="A19" t="s">
        <v>103</v>
      </c>
      <c r="B19" s="2">
        <v>45833</v>
      </c>
      <c r="C19" s="2">
        <f>YEAR(Table1[[#This Row],[Date]])</f>
        <v>2025</v>
      </c>
      <c r="D19" s="2" t="str">
        <f>TEXT(Table1[[#This Row],[Date]], "mmm")</f>
        <v>Jun</v>
      </c>
      <c r="E19" s="2" t="str">
        <f t="shared" si="0"/>
        <v>Q2</v>
      </c>
      <c r="F19" t="s">
        <v>35</v>
      </c>
      <c r="G19" t="s">
        <v>147</v>
      </c>
      <c r="H19" t="s">
        <v>149</v>
      </c>
      <c r="I19" t="str">
        <f>VLOOKUP(Table1[[#This Row],[Location Clean]],StateLookup,2,FALSE)</f>
        <v>Rivers State</v>
      </c>
      <c r="J19" t="s">
        <v>39</v>
      </c>
      <c r="K19" t="s">
        <v>153</v>
      </c>
      <c r="L19" t="s">
        <v>41</v>
      </c>
      <c r="M19" t="s">
        <v>72</v>
      </c>
      <c r="N19">
        <v>25</v>
      </c>
      <c r="O19">
        <v>50</v>
      </c>
      <c r="P19">
        <v>0</v>
      </c>
      <c r="Q19" s="3">
        <f>Table1[[#This Row],[Price]]*Table1[[#This Row],[Qty]]* (1- P19/100)</f>
        <v>1250</v>
      </c>
      <c r="R19" t="s">
        <v>43</v>
      </c>
      <c r="S19">
        <v>48</v>
      </c>
    </row>
    <row r="20" spans="1:19" ht="26" customHeight="1" x14ac:dyDescent="0.35">
      <c r="A20" t="s">
        <v>105</v>
      </c>
      <c r="B20" s="2">
        <v>45839</v>
      </c>
      <c r="C20" s="2">
        <f>YEAR(Table1[[#This Row],[Date]])</f>
        <v>2025</v>
      </c>
      <c r="D20" s="2" t="str">
        <f>TEXT(Table1[[#This Row],[Date]], "mmm")</f>
        <v>Jul</v>
      </c>
      <c r="E20" s="2" t="str">
        <f t="shared" si="0"/>
        <v>Q3</v>
      </c>
      <c r="F20" t="s">
        <v>106</v>
      </c>
      <c r="G20" t="s">
        <v>107</v>
      </c>
      <c r="H20" t="s">
        <v>108</v>
      </c>
      <c r="I20" t="str">
        <f>VLOOKUP(Table1[[#This Row],[Location Clean]],StateLookup,2,FALSE)</f>
        <v>Kaduna State</v>
      </c>
      <c r="J20" t="s">
        <v>29</v>
      </c>
      <c r="K20" t="s">
        <v>166</v>
      </c>
      <c r="L20" t="s">
        <v>21</v>
      </c>
      <c r="M20" t="s">
        <v>46</v>
      </c>
      <c r="N20">
        <v>650</v>
      </c>
      <c r="O20">
        <v>4</v>
      </c>
      <c r="P20">
        <v>5</v>
      </c>
      <c r="Q20" s="3">
        <f>Table1[[#This Row],[Price]]*Table1[[#This Row],[Qty]]* (1- P20/100)</f>
        <v>2470</v>
      </c>
      <c r="R20" t="s">
        <v>23</v>
      </c>
      <c r="S20">
        <f>IF(ISBLANK(S17), 37, S17)</f>
        <v>36</v>
      </c>
    </row>
    <row r="21" spans="1:19" ht="26" customHeight="1" x14ac:dyDescent="0.35">
      <c r="A21" t="s">
        <v>110</v>
      </c>
      <c r="B21" s="2">
        <v>45853</v>
      </c>
      <c r="C21" s="2">
        <f>YEAR(Table1[[#This Row],[Date]])</f>
        <v>2025</v>
      </c>
      <c r="D21" s="2" t="str">
        <f>TEXT(Table1[[#This Row],[Date]], "mmm")</f>
        <v>Jul</v>
      </c>
      <c r="E21" s="2" t="str">
        <f t="shared" si="0"/>
        <v>Q3</v>
      </c>
      <c r="F21" t="s">
        <v>16</v>
      </c>
      <c r="G21" t="s">
        <v>17</v>
      </c>
      <c r="H21" t="s">
        <v>18</v>
      </c>
      <c r="I21" t="str">
        <f>VLOOKUP(Table1[[#This Row],[Location Clean]],StateLookup,2,FALSE)</f>
        <v>Lagos State</v>
      </c>
      <c r="J21" t="s">
        <v>19</v>
      </c>
      <c r="K21" t="s">
        <v>151</v>
      </c>
      <c r="L21" t="s">
        <v>31</v>
      </c>
      <c r="M21" t="s">
        <v>32</v>
      </c>
      <c r="N21">
        <v>35</v>
      </c>
      <c r="O21">
        <v>25</v>
      </c>
      <c r="P21">
        <v>0</v>
      </c>
      <c r="Q21" s="3">
        <f>Table1[[#This Row],[Price]]*Table1[[#This Row],[Qty]]* (1- P21/100)</f>
        <v>875</v>
      </c>
      <c r="R21" t="s">
        <v>53</v>
      </c>
      <c r="S21">
        <v>26</v>
      </c>
    </row>
    <row r="22" spans="1:19" ht="26" customHeight="1" x14ac:dyDescent="0.35">
      <c r="A22" t="s">
        <v>111</v>
      </c>
      <c r="B22" s="2">
        <v>45863</v>
      </c>
      <c r="C22" s="2">
        <f>YEAR(Table1[[#This Row],[Date]])</f>
        <v>2025</v>
      </c>
      <c r="D22" s="2" t="str">
        <f>TEXT(Table1[[#This Row],[Date]], "mmm")</f>
        <v>Jul</v>
      </c>
      <c r="E22" s="2" t="str">
        <f t="shared" si="0"/>
        <v>Q3</v>
      </c>
      <c r="F22" t="s">
        <v>112</v>
      </c>
      <c r="G22" t="s">
        <v>113</v>
      </c>
      <c r="H22" t="s">
        <v>114</v>
      </c>
      <c r="I22" t="str">
        <f>VLOOKUP(Table1[[#This Row],[Location Clean]],StateLookup,2,FALSE)</f>
        <v>Delta State</v>
      </c>
      <c r="J22" t="s">
        <v>39</v>
      </c>
      <c r="K22" t="s">
        <v>159</v>
      </c>
      <c r="L22" t="s">
        <v>41</v>
      </c>
      <c r="M22" t="s">
        <v>42</v>
      </c>
      <c r="N22">
        <v>40</v>
      </c>
      <c r="O22">
        <v>30</v>
      </c>
      <c r="P22">
        <v>0</v>
      </c>
      <c r="Q22" s="3">
        <f>Table1[[#This Row],[Price]]*Table1[[#This Row],[Qty]]* (1- P22/100)</f>
        <v>1200</v>
      </c>
      <c r="R22" t="s">
        <v>23</v>
      </c>
      <c r="S22">
        <v>42</v>
      </c>
    </row>
    <row r="23" spans="1:19" ht="26" customHeight="1" x14ac:dyDescent="0.35">
      <c r="A23" t="s">
        <v>117</v>
      </c>
      <c r="B23" s="2">
        <v>45870</v>
      </c>
      <c r="C23" s="2">
        <f>YEAR(Table1[[#This Row],[Date]])</f>
        <v>2025</v>
      </c>
      <c r="D23" s="2" t="str">
        <f>TEXT(Table1[[#This Row],[Date]], "mmm")</f>
        <v>Aug</v>
      </c>
      <c r="E23" s="2" t="str">
        <f t="shared" si="0"/>
        <v>Q3</v>
      </c>
      <c r="F23" t="s">
        <v>64</v>
      </c>
      <c r="G23" t="s">
        <v>65</v>
      </c>
      <c r="H23" t="s">
        <v>66</v>
      </c>
      <c r="I23" t="str">
        <f>VLOOKUP(Table1[[#This Row],[Location Clean]],StateLookup,2,FALSE)</f>
        <v>Edo State</v>
      </c>
      <c r="J23" t="s">
        <v>39</v>
      </c>
      <c r="K23" t="s">
        <v>157</v>
      </c>
      <c r="L23" t="s">
        <v>21</v>
      </c>
      <c r="M23" t="s">
        <v>22</v>
      </c>
      <c r="N23">
        <v>850</v>
      </c>
      <c r="O23">
        <v>3</v>
      </c>
      <c r="P23">
        <v>0</v>
      </c>
      <c r="Q23" s="3">
        <f>Table1[[#This Row],[Price]]*Table1[[#This Row],[Qty]]* (1- P23/100)</f>
        <v>2550</v>
      </c>
      <c r="R23" t="s">
        <v>43</v>
      </c>
      <c r="S23">
        <v>39</v>
      </c>
    </row>
    <row r="24" spans="1:19" ht="26" customHeight="1" x14ac:dyDescent="0.35">
      <c r="A24" t="s">
        <v>118</v>
      </c>
      <c r="B24" s="2">
        <v>45884</v>
      </c>
      <c r="C24" s="2">
        <f>YEAR(Table1[[#This Row],[Date]])</f>
        <v>2025</v>
      </c>
      <c r="D24" s="2" t="str">
        <f>TEXT(Table1[[#This Row],[Date]], "mmm")</f>
        <v>Aug</v>
      </c>
      <c r="E24" s="2" t="str">
        <f t="shared" si="0"/>
        <v>Q3</v>
      </c>
      <c r="F24" t="s">
        <v>119</v>
      </c>
      <c r="G24" t="s">
        <v>120</v>
      </c>
      <c r="H24" t="s">
        <v>121</v>
      </c>
      <c r="I24" t="str">
        <f>VLOOKUP(Table1[[#This Row],[Location Clean]],StateLookup,2,FALSE)</f>
        <v>Cross River State</v>
      </c>
      <c r="J24" t="s">
        <v>39</v>
      </c>
      <c r="K24" t="s">
        <v>160</v>
      </c>
      <c r="L24" t="s">
        <v>31</v>
      </c>
      <c r="M24" t="s">
        <v>52</v>
      </c>
      <c r="N24">
        <v>45</v>
      </c>
      <c r="O24">
        <v>18</v>
      </c>
      <c r="P24">
        <v>0</v>
      </c>
      <c r="Q24" s="3">
        <f>Table1[[#This Row],[Price]]*Table1[[#This Row],[Qty]]* (1- P24/100)</f>
        <v>810</v>
      </c>
      <c r="R24" t="s">
        <v>23</v>
      </c>
      <c r="S24">
        <f>IF(ISBLANK(S21), 37, S21)</f>
        <v>26</v>
      </c>
    </row>
    <row r="25" spans="1:19" ht="26" customHeight="1" x14ac:dyDescent="0.35">
      <c r="A25" t="s">
        <v>124</v>
      </c>
      <c r="B25" s="2">
        <v>45894</v>
      </c>
      <c r="C25" s="2">
        <f>YEAR(Table1[[#This Row],[Date]])</f>
        <v>2025</v>
      </c>
      <c r="D25" s="2" t="str">
        <f>TEXT(Table1[[#This Row],[Date]], "mmm")</f>
        <v>Aug</v>
      </c>
      <c r="E25" s="2" t="str">
        <f t="shared" si="0"/>
        <v>Q3</v>
      </c>
      <c r="F25" t="s">
        <v>25</v>
      </c>
      <c r="G25" t="s">
        <v>26</v>
      </c>
      <c r="H25" t="s">
        <v>27</v>
      </c>
      <c r="I25" t="str">
        <f>VLOOKUP(Table1[[#This Row],[Location Clean]],StateLookup,2,FALSE)</f>
        <v>Federal Capital Territory</v>
      </c>
      <c r="J25" t="s">
        <v>29</v>
      </c>
      <c r="K25" t="s">
        <v>152</v>
      </c>
      <c r="L25" t="s">
        <v>41</v>
      </c>
      <c r="M25" t="s">
        <v>60</v>
      </c>
      <c r="N25">
        <v>30</v>
      </c>
      <c r="O25">
        <v>40</v>
      </c>
      <c r="P25">
        <v>0</v>
      </c>
      <c r="Q25" s="3">
        <f>Table1[[#This Row],[Price]]*Table1[[#This Row],[Qty]]* (1- P25/100)</f>
        <v>1200</v>
      </c>
      <c r="R25" t="s">
        <v>23</v>
      </c>
      <c r="S25">
        <v>44</v>
      </c>
    </row>
    <row r="26" spans="1:19" ht="26" customHeight="1" x14ac:dyDescent="0.35">
      <c r="A26" t="s">
        <v>125</v>
      </c>
      <c r="B26" s="2">
        <v>45901</v>
      </c>
      <c r="C26" s="2">
        <f>YEAR(Table1[[#This Row],[Date]])</f>
        <v>2025</v>
      </c>
      <c r="D26" s="2" t="str">
        <f>TEXT(Table1[[#This Row],[Date]], "mmm")</f>
        <v>Sep</v>
      </c>
      <c r="E26" s="2" t="str">
        <f t="shared" si="0"/>
        <v>Q3</v>
      </c>
      <c r="F26" t="s">
        <v>126</v>
      </c>
      <c r="G26" t="s">
        <v>127</v>
      </c>
      <c r="H26" t="s">
        <v>128</v>
      </c>
      <c r="I26" t="str">
        <f>VLOOKUP(Table1[[#This Row],[Location Clean]],StateLookup,2,FALSE)</f>
        <v>Borno State</v>
      </c>
      <c r="J26" t="s">
        <v>29</v>
      </c>
      <c r="K26" t="s">
        <v>165</v>
      </c>
      <c r="L26" t="s">
        <v>21</v>
      </c>
      <c r="M26" t="s">
        <v>22</v>
      </c>
      <c r="N26">
        <v>850</v>
      </c>
      <c r="O26">
        <v>2</v>
      </c>
      <c r="P26">
        <v>10</v>
      </c>
      <c r="Q26" s="3">
        <f>Table1[[#This Row],[Price]]*Table1[[#This Row],[Qty]]* (1- P26/100)</f>
        <v>1530</v>
      </c>
      <c r="R26" t="s">
        <v>53</v>
      </c>
      <c r="S26">
        <f>IF(ISBLANK(S23), 37, S23)</f>
        <v>39</v>
      </c>
    </row>
    <row r="27" spans="1:19" ht="26" customHeight="1" x14ac:dyDescent="0.35">
      <c r="A27" t="s">
        <v>131</v>
      </c>
      <c r="B27" s="2">
        <v>45915</v>
      </c>
      <c r="C27" s="2">
        <f>YEAR(Table1[[#This Row],[Date]])</f>
        <v>2025</v>
      </c>
      <c r="D27" s="2" t="str">
        <f>TEXT(Table1[[#This Row],[Date]], "mmm")</f>
        <v>Sep</v>
      </c>
      <c r="E27" s="2" t="str">
        <f t="shared" si="0"/>
        <v>Q3</v>
      </c>
      <c r="F27" t="s">
        <v>74</v>
      </c>
      <c r="G27" t="s">
        <v>75</v>
      </c>
      <c r="H27" t="s">
        <v>76</v>
      </c>
      <c r="I27" t="str">
        <f>VLOOKUP(Table1[[#This Row],[Location Clean]],StateLookup,2,FALSE)</f>
        <v>Enugu State</v>
      </c>
      <c r="J27" t="s">
        <v>77</v>
      </c>
      <c r="K27" t="s">
        <v>158</v>
      </c>
      <c r="L27" t="s">
        <v>31</v>
      </c>
      <c r="M27" t="s">
        <v>69</v>
      </c>
      <c r="N27">
        <v>55</v>
      </c>
      <c r="O27">
        <v>10</v>
      </c>
      <c r="P27">
        <v>0</v>
      </c>
      <c r="Q27" s="3">
        <f>Table1[[#This Row],[Price]]*Table1[[#This Row],[Qty]]* (1- P27/100)</f>
        <v>550</v>
      </c>
      <c r="R27" t="s">
        <v>43</v>
      </c>
      <c r="S27">
        <v>34</v>
      </c>
    </row>
    <row r="28" spans="1:19" ht="26" customHeight="1" x14ac:dyDescent="0.35">
      <c r="A28" t="s">
        <v>132</v>
      </c>
      <c r="B28" s="2">
        <v>45925</v>
      </c>
      <c r="C28" s="2">
        <f>YEAR(Table1[[#This Row],[Date]])</f>
        <v>2025</v>
      </c>
      <c r="D28" s="2" t="str">
        <f>TEXT(Table1[[#This Row],[Date]], "mmm")</f>
        <v>Sep</v>
      </c>
      <c r="E28" s="2" t="str">
        <f t="shared" si="0"/>
        <v>Q3</v>
      </c>
      <c r="F28" t="s">
        <v>133</v>
      </c>
      <c r="G28" t="s">
        <v>134</v>
      </c>
      <c r="H28" t="s">
        <v>135</v>
      </c>
      <c r="I28" t="str">
        <f>VLOOKUP(Table1[[#This Row],[Location Clean]],StateLookup,2,FALSE)</f>
        <v>Sokoto State</v>
      </c>
      <c r="J28" t="s">
        <v>29</v>
      </c>
      <c r="K28" t="s">
        <v>161</v>
      </c>
      <c r="L28" t="s">
        <v>41</v>
      </c>
      <c r="M28" t="s">
        <v>72</v>
      </c>
      <c r="N28">
        <v>25</v>
      </c>
      <c r="O28">
        <v>45</v>
      </c>
      <c r="P28">
        <v>0</v>
      </c>
      <c r="Q28" s="3">
        <f>Table1[[#This Row],[Price]]*Table1[[#This Row],[Qty]]* (1- P28/100)</f>
        <v>1125</v>
      </c>
      <c r="R28" t="s">
        <v>23</v>
      </c>
      <c r="S28">
        <v>53</v>
      </c>
    </row>
    <row r="29" spans="1:19" ht="26" customHeight="1" x14ac:dyDescent="0.35">
      <c r="A29" t="s">
        <v>137</v>
      </c>
      <c r="B29" s="2">
        <v>45931</v>
      </c>
      <c r="C29" s="2">
        <f>YEAR(Table1[[#This Row],[Date]])</f>
        <v>2025</v>
      </c>
      <c r="D29" s="2" t="str">
        <f>TEXT(Table1[[#This Row],[Date]], "mmm")</f>
        <v>Oct</v>
      </c>
      <c r="E29" s="2" t="str">
        <f t="shared" si="0"/>
        <v>Q4</v>
      </c>
      <c r="F29" t="s">
        <v>16</v>
      </c>
      <c r="G29" t="s">
        <v>17</v>
      </c>
      <c r="H29" t="s">
        <v>18</v>
      </c>
      <c r="I29" t="str">
        <f>VLOOKUP(Table1[[#This Row],[Location Clean]],StateLookup,2,FALSE)</f>
        <v>Lagos State</v>
      </c>
      <c r="J29" t="s">
        <v>19</v>
      </c>
      <c r="K29" t="s">
        <v>151</v>
      </c>
      <c r="L29" t="s">
        <v>21</v>
      </c>
      <c r="M29" t="s">
        <v>46</v>
      </c>
      <c r="N29">
        <v>650</v>
      </c>
      <c r="O29">
        <v>5</v>
      </c>
      <c r="P29">
        <v>5</v>
      </c>
      <c r="Q29" s="3">
        <f>Table1[[#This Row],[Price]]*Table1[[#This Row],[Qty]]* (1- P29/100)</f>
        <v>3087.5</v>
      </c>
      <c r="R29" t="s">
        <v>23</v>
      </c>
      <c r="S29">
        <v>28</v>
      </c>
    </row>
    <row r="30" spans="1:19" ht="26" customHeight="1" x14ac:dyDescent="0.35">
      <c r="A30" t="s">
        <v>138</v>
      </c>
      <c r="B30" s="2">
        <v>45945</v>
      </c>
      <c r="C30" s="2">
        <f>YEAR(Table1[[#This Row],[Date]])</f>
        <v>2025</v>
      </c>
      <c r="D30" s="2" t="str">
        <f>TEXT(Table1[[#This Row],[Date]], "mmm")</f>
        <v>Oct</v>
      </c>
      <c r="E30" s="2" t="str">
        <f t="shared" si="0"/>
        <v>Q4</v>
      </c>
      <c r="F30" t="s">
        <v>82</v>
      </c>
      <c r="G30" t="s">
        <v>83</v>
      </c>
      <c r="H30" t="s">
        <v>84</v>
      </c>
      <c r="I30" t="str">
        <f>VLOOKUP(Table1[[#This Row],[Location Clean]],StateLookup,2,FALSE)</f>
        <v>Kwara State</v>
      </c>
      <c r="J30" t="s">
        <v>19</v>
      </c>
      <c r="K30" t="s">
        <v>164</v>
      </c>
      <c r="L30" t="s">
        <v>31</v>
      </c>
      <c r="M30" t="s">
        <v>32</v>
      </c>
      <c r="N30">
        <v>35</v>
      </c>
      <c r="O30">
        <v>30</v>
      </c>
      <c r="P30">
        <v>0</v>
      </c>
      <c r="Q30" s="3">
        <f>Table1[[#This Row],[Price]]*Table1[[#This Row],[Qty]]* (1- P30/100)</f>
        <v>1050</v>
      </c>
      <c r="R30" t="s">
        <v>53</v>
      </c>
      <c r="S30">
        <v>30</v>
      </c>
    </row>
    <row r="31" spans="1:19" ht="26" customHeight="1" x14ac:dyDescent="0.35">
      <c r="A31" t="s">
        <v>139</v>
      </c>
      <c r="B31" s="2">
        <v>45955</v>
      </c>
      <c r="C31" s="2">
        <f>YEAR(Table1[[#This Row],[Date]])</f>
        <v>2025</v>
      </c>
      <c r="D31" s="2" t="str">
        <f>TEXT(Table1[[#This Row],[Date]], "mmm")</f>
        <v>Oct</v>
      </c>
      <c r="E31" s="2" t="str">
        <f t="shared" si="0"/>
        <v>Q4</v>
      </c>
      <c r="F31" t="s">
        <v>35</v>
      </c>
      <c r="G31" t="s">
        <v>147</v>
      </c>
      <c r="H31" t="s">
        <v>149</v>
      </c>
      <c r="I31" t="str">
        <f>VLOOKUP(Table1[[#This Row],[Location Clean]],StateLookup,2,FALSE)</f>
        <v>Rivers State</v>
      </c>
      <c r="J31" t="s">
        <v>39</v>
      </c>
      <c r="K31" t="s">
        <v>153</v>
      </c>
      <c r="L31" t="s">
        <v>41</v>
      </c>
      <c r="M31" t="s">
        <v>42</v>
      </c>
      <c r="N31">
        <v>40</v>
      </c>
      <c r="O31">
        <v>35</v>
      </c>
      <c r="P31">
        <v>0</v>
      </c>
      <c r="Q31" s="3">
        <f>Table1[[#This Row],[Price]]*Table1[[#This Row],[Qty]]* (1- P31/100)</f>
        <v>1400</v>
      </c>
      <c r="R31" t="s">
        <v>43</v>
      </c>
      <c r="S31">
        <v>47</v>
      </c>
    </row>
    <row r="32" spans="1:19" ht="26" customHeight="1" x14ac:dyDescent="0.35">
      <c r="A32" t="s">
        <v>140</v>
      </c>
      <c r="B32" s="2">
        <v>45962</v>
      </c>
      <c r="C32" s="2">
        <f>YEAR(Table1[[#This Row],[Date]])</f>
        <v>2025</v>
      </c>
      <c r="D32" s="2" t="str">
        <f>TEXT(Table1[[#This Row],[Date]], "mmm")</f>
        <v>Nov</v>
      </c>
      <c r="E32" s="2" t="str">
        <f t="shared" si="0"/>
        <v>Q4</v>
      </c>
      <c r="F32" t="s">
        <v>97</v>
      </c>
      <c r="G32" t="s">
        <v>98</v>
      </c>
      <c r="H32" t="s">
        <v>99</v>
      </c>
      <c r="I32" t="str">
        <f>VLOOKUP(Table1[[#This Row],[Location Clean]],StateLookup,2,FALSE)</f>
        <v>Plateau State</v>
      </c>
      <c r="J32" t="s">
        <v>29</v>
      </c>
      <c r="K32" t="s">
        <v>163</v>
      </c>
      <c r="L32" t="s">
        <v>21</v>
      </c>
      <c r="M32" t="s">
        <v>22</v>
      </c>
      <c r="N32">
        <v>850</v>
      </c>
      <c r="O32">
        <v>6</v>
      </c>
      <c r="P32">
        <v>10</v>
      </c>
      <c r="Q32" s="3">
        <f>Table1[[#This Row],[Price]]*Table1[[#This Row],[Qty]]* (1- P32/100)</f>
        <v>4590</v>
      </c>
      <c r="R32" t="s">
        <v>23</v>
      </c>
      <c r="S32">
        <f>IF(ISBLANK(S29), 37, S29)</f>
        <v>28</v>
      </c>
    </row>
    <row r="33" spans="1:19" ht="26" customHeight="1" x14ac:dyDescent="0.35">
      <c r="A33" t="s">
        <v>141</v>
      </c>
      <c r="B33" s="2">
        <v>45976</v>
      </c>
      <c r="C33" s="2">
        <f>YEAR(Table1[[#This Row],[Date]])</f>
        <v>2025</v>
      </c>
      <c r="D33" s="2" t="str">
        <f>TEXT(Table1[[#This Row],[Date]], "mmm")</f>
        <v>Nov</v>
      </c>
      <c r="E33" s="2" t="str">
        <f t="shared" si="0"/>
        <v>Q4</v>
      </c>
      <c r="F33" t="s">
        <v>48</v>
      </c>
      <c r="G33" t="s">
        <v>49</v>
      </c>
      <c r="H33" t="s">
        <v>50</v>
      </c>
      <c r="I33" t="str">
        <f>VLOOKUP(Table1[[#This Row],[Location Clean]],StateLookup,2,FALSE)</f>
        <v>Kano State</v>
      </c>
      <c r="J33" t="s">
        <v>29</v>
      </c>
      <c r="K33" t="s">
        <v>155</v>
      </c>
      <c r="L33" t="s">
        <v>31</v>
      </c>
      <c r="M33" t="s">
        <v>52</v>
      </c>
      <c r="N33">
        <v>45</v>
      </c>
      <c r="O33">
        <v>20</v>
      </c>
      <c r="P33">
        <v>0</v>
      </c>
      <c r="Q33" s="3">
        <f>Table1[[#This Row],[Price]]*Table1[[#This Row],[Qty]]* (1- P33/100)</f>
        <v>900</v>
      </c>
      <c r="R33" t="s">
        <v>23</v>
      </c>
      <c r="S33">
        <v>35</v>
      </c>
    </row>
    <row r="34" spans="1:19" ht="26" customHeight="1" x14ac:dyDescent="0.35">
      <c r="A34" t="s">
        <v>142</v>
      </c>
      <c r="B34" s="2">
        <v>45986</v>
      </c>
      <c r="C34" s="2">
        <f>YEAR(Table1[[#This Row],[Date]])</f>
        <v>2025</v>
      </c>
      <c r="D34" s="2" t="str">
        <f>TEXT(Table1[[#This Row],[Date]], "mmm")</f>
        <v>Nov</v>
      </c>
      <c r="E34" s="2" t="str">
        <f t="shared" si="0"/>
        <v>Q4</v>
      </c>
      <c r="F34" t="s">
        <v>89</v>
      </c>
      <c r="G34" t="s">
        <v>90</v>
      </c>
      <c r="H34" t="s">
        <v>91</v>
      </c>
      <c r="I34" t="str">
        <f>VLOOKUP(Table1[[#This Row],[Location Clean]],StateLookup,2,FALSE)</f>
        <v>Ogun State</v>
      </c>
      <c r="J34" t="s">
        <v>19</v>
      </c>
      <c r="K34" t="s">
        <v>162</v>
      </c>
      <c r="L34" t="s">
        <v>41</v>
      </c>
      <c r="M34" t="s">
        <v>60</v>
      </c>
      <c r="N34">
        <v>30</v>
      </c>
      <c r="O34">
        <v>50</v>
      </c>
      <c r="P34">
        <v>0</v>
      </c>
      <c r="Q34" s="3">
        <f>Table1[[#This Row],[Price]]*Table1[[#This Row],[Qty]]* (1- P34/100)</f>
        <v>1500</v>
      </c>
      <c r="R34" t="s">
        <v>53</v>
      </c>
      <c r="S34">
        <v>41</v>
      </c>
    </row>
    <row r="35" spans="1:19" ht="26" customHeight="1" x14ac:dyDescent="0.35">
      <c r="A35" t="s">
        <v>143</v>
      </c>
      <c r="B35" s="2">
        <v>45992</v>
      </c>
      <c r="C35" s="2">
        <f>YEAR(Table1[[#This Row],[Date]])</f>
        <v>2025</v>
      </c>
      <c r="D35" s="2" t="str">
        <f>TEXT(Table1[[#This Row],[Date]], "mmm")</f>
        <v>Dec</v>
      </c>
      <c r="E35" s="2" t="str">
        <f t="shared" si="0"/>
        <v>Q4</v>
      </c>
      <c r="F35" t="s">
        <v>25</v>
      </c>
      <c r="G35" t="s">
        <v>26</v>
      </c>
      <c r="H35" t="s">
        <v>27</v>
      </c>
      <c r="I35" t="str">
        <f>VLOOKUP(Table1[[#This Row],[Location Clean]],StateLookup,2,FALSE)</f>
        <v>Federal Capital Territory</v>
      </c>
      <c r="J35" t="s">
        <v>29</v>
      </c>
      <c r="K35" t="s">
        <v>152</v>
      </c>
      <c r="L35" t="s">
        <v>21</v>
      </c>
      <c r="M35" t="s">
        <v>22</v>
      </c>
      <c r="N35">
        <v>850</v>
      </c>
      <c r="O35">
        <v>8</v>
      </c>
      <c r="P35">
        <v>15</v>
      </c>
      <c r="Q35" s="3">
        <f>Table1[[#This Row],[Price]]*Table1[[#This Row],[Qty]]* (1- P35/100)</f>
        <v>5780</v>
      </c>
      <c r="R35" t="s">
        <v>43</v>
      </c>
      <c r="S35">
        <f>IF(ISBLANK(S32), 37, S32)</f>
        <v>28</v>
      </c>
    </row>
    <row r="36" spans="1:19" ht="26" customHeight="1" x14ac:dyDescent="0.35">
      <c r="A36" t="s">
        <v>144</v>
      </c>
      <c r="B36" s="2">
        <v>46006</v>
      </c>
      <c r="C36" s="2">
        <f>YEAR(Table1[[#This Row],[Date]])</f>
        <v>2025</v>
      </c>
      <c r="D36" s="2" t="str">
        <f>TEXT(Table1[[#This Row],[Date]], "mmm")</f>
        <v>Dec</v>
      </c>
      <c r="E36" s="2" t="str">
        <f t="shared" si="0"/>
        <v>Q4</v>
      </c>
      <c r="F36" t="s">
        <v>55</v>
      </c>
      <c r="G36" t="s">
        <v>56</v>
      </c>
      <c r="H36" t="s">
        <v>57</v>
      </c>
      <c r="I36" t="str">
        <f>VLOOKUP(Table1[[#This Row],[Location Clean]],StateLookup,2,FALSE)</f>
        <v>Oyo State</v>
      </c>
      <c r="J36" t="s">
        <v>19</v>
      </c>
      <c r="K36" t="s">
        <v>156</v>
      </c>
      <c r="L36" t="s">
        <v>31</v>
      </c>
      <c r="M36" t="s">
        <v>69</v>
      </c>
      <c r="N36">
        <v>55</v>
      </c>
      <c r="O36">
        <v>12</v>
      </c>
      <c r="P36">
        <v>0</v>
      </c>
      <c r="Q36" s="3">
        <f>Table1[[#This Row],[Price]]*Table1[[#This Row],[Qty]]* (1- P36/100)</f>
        <v>660</v>
      </c>
      <c r="R36" t="s">
        <v>23</v>
      </c>
      <c r="S36">
        <v>32</v>
      </c>
    </row>
    <row r="37" spans="1:19" ht="26" customHeight="1" x14ac:dyDescent="0.35">
      <c r="A37" t="s">
        <v>145</v>
      </c>
      <c r="B37" s="2">
        <v>46016</v>
      </c>
      <c r="C37" s="2">
        <f>YEAR(Table1[[#This Row],[Date]])</f>
        <v>2025</v>
      </c>
      <c r="D37" s="2" t="str">
        <f>TEXT(Table1[[#This Row],[Date]], "mmm")</f>
        <v>Dec</v>
      </c>
      <c r="E37" s="2" t="str">
        <f t="shared" si="0"/>
        <v>Q4</v>
      </c>
      <c r="F37" t="s">
        <v>16</v>
      </c>
      <c r="G37" t="s">
        <v>17</v>
      </c>
      <c r="H37" t="s">
        <v>18</v>
      </c>
      <c r="I37" t="str">
        <f>VLOOKUP(Table1[[#This Row],[Location Clean]],StateLookup,2,FALSE)</f>
        <v>Lagos State</v>
      </c>
      <c r="J37" t="s">
        <v>19</v>
      </c>
      <c r="K37" t="s">
        <v>151</v>
      </c>
      <c r="L37" t="s">
        <v>41</v>
      </c>
      <c r="M37" t="s">
        <v>42</v>
      </c>
      <c r="N37">
        <v>40</v>
      </c>
      <c r="O37">
        <v>40</v>
      </c>
      <c r="P37">
        <v>0</v>
      </c>
      <c r="Q37" s="3">
        <f>Table1[[#This Row],[Price]]*Table1[[#This Row],[Qty]]* (1- P37/100)</f>
        <v>1600</v>
      </c>
      <c r="R37" t="s">
        <v>23</v>
      </c>
      <c r="S37">
        <v>46</v>
      </c>
    </row>
  </sheetData>
  <phoneticPr fontId="1" type="noConversion"/>
  <conditionalFormatting sqref="A1:A1048576">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2B6F-39A9-4345-BE59-446054ED30A7}">
  <dimension ref="A1:B16"/>
  <sheetViews>
    <sheetView workbookViewId="0">
      <selection activeCell="B18" sqref="B18"/>
    </sheetView>
  </sheetViews>
  <sheetFormatPr defaultRowHeight="14.5" x14ac:dyDescent="0.35"/>
  <cols>
    <col min="1" max="1" width="15.08984375" customWidth="1"/>
    <col min="2" max="2" width="22.453125" customWidth="1"/>
  </cols>
  <sheetData>
    <row r="1" spans="1:2" x14ac:dyDescent="0.35">
      <c r="A1" t="s">
        <v>167</v>
      </c>
      <c r="B1" t="s">
        <v>168</v>
      </c>
    </row>
    <row r="2" spans="1:2" x14ac:dyDescent="0.35">
      <c r="A2" t="s">
        <v>18</v>
      </c>
      <c r="B2" t="s">
        <v>169</v>
      </c>
    </row>
    <row r="3" spans="1:2" x14ac:dyDescent="0.35">
      <c r="A3" t="s">
        <v>27</v>
      </c>
      <c r="B3" t="s">
        <v>170</v>
      </c>
    </row>
    <row r="4" spans="1:2" x14ac:dyDescent="0.35">
      <c r="A4" t="s">
        <v>149</v>
      </c>
      <c r="B4" t="s">
        <v>171</v>
      </c>
    </row>
    <row r="5" spans="1:2" x14ac:dyDescent="0.35">
      <c r="A5" t="s">
        <v>57</v>
      </c>
      <c r="B5" t="s">
        <v>172</v>
      </c>
    </row>
    <row r="6" spans="1:2" x14ac:dyDescent="0.35">
      <c r="A6" t="s">
        <v>50</v>
      </c>
      <c r="B6" t="s">
        <v>173</v>
      </c>
    </row>
    <row r="7" spans="1:2" x14ac:dyDescent="0.35">
      <c r="A7" t="s">
        <v>66</v>
      </c>
      <c r="B7" t="s">
        <v>174</v>
      </c>
    </row>
    <row r="8" spans="1:2" x14ac:dyDescent="0.35">
      <c r="A8" t="s">
        <v>76</v>
      </c>
      <c r="B8" t="s">
        <v>175</v>
      </c>
    </row>
    <row r="9" spans="1:2" x14ac:dyDescent="0.35">
      <c r="A9" t="s">
        <v>84</v>
      </c>
      <c r="B9" t="s">
        <v>176</v>
      </c>
    </row>
    <row r="10" spans="1:2" x14ac:dyDescent="0.35">
      <c r="A10" t="s">
        <v>91</v>
      </c>
      <c r="B10" t="s">
        <v>177</v>
      </c>
    </row>
    <row r="11" spans="1:2" x14ac:dyDescent="0.35">
      <c r="A11" t="s">
        <v>99</v>
      </c>
      <c r="B11" t="s">
        <v>178</v>
      </c>
    </row>
    <row r="12" spans="1:2" x14ac:dyDescent="0.35">
      <c r="A12" t="s">
        <v>108</v>
      </c>
      <c r="B12" t="s">
        <v>179</v>
      </c>
    </row>
    <row r="13" spans="1:2" x14ac:dyDescent="0.35">
      <c r="A13" t="s">
        <v>114</v>
      </c>
      <c r="B13" t="s">
        <v>180</v>
      </c>
    </row>
    <row r="14" spans="1:2" x14ac:dyDescent="0.35">
      <c r="A14" t="s">
        <v>121</v>
      </c>
      <c r="B14" t="s">
        <v>181</v>
      </c>
    </row>
    <row r="15" spans="1:2" x14ac:dyDescent="0.35">
      <c r="A15" t="s">
        <v>128</v>
      </c>
      <c r="B15" t="s">
        <v>182</v>
      </c>
    </row>
    <row r="16" spans="1:2" x14ac:dyDescent="0.35">
      <c r="A16" t="s">
        <v>135</v>
      </c>
      <c r="B16" t="s">
        <v>183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FC36E-F32F-4C66-A9F1-72D13CED3526}">
  <dimension ref="A3:X73"/>
  <sheetViews>
    <sheetView topLeftCell="A4" workbookViewId="0">
      <selection activeCell="F12" activeCellId="1" sqref="AB33 F12"/>
    </sheetView>
  </sheetViews>
  <sheetFormatPr defaultRowHeight="14.5" x14ac:dyDescent="0.35"/>
  <cols>
    <col min="1" max="1" width="13.6328125" bestFit="1" customWidth="1"/>
    <col min="2" max="2" width="18.81640625" bestFit="1" customWidth="1"/>
    <col min="3" max="3" width="15.54296875" bestFit="1" customWidth="1"/>
    <col min="4" max="4" width="10.7265625" bestFit="1" customWidth="1"/>
    <col min="5" max="5" width="14.54296875" bestFit="1" customWidth="1"/>
    <col min="6" max="6" width="18.81640625" bestFit="1" customWidth="1"/>
    <col min="7" max="7" width="10.08984375" bestFit="1" customWidth="1"/>
    <col min="10" max="10" width="17.26953125" bestFit="1" customWidth="1"/>
    <col min="11" max="11" width="18.81640625" bestFit="1" customWidth="1"/>
    <col min="14" max="14" width="12.36328125" bestFit="1" customWidth="1"/>
    <col min="15" max="15" width="18.81640625" bestFit="1" customWidth="1"/>
    <col min="19" max="19" width="12.36328125" bestFit="1" customWidth="1"/>
    <col min="20" max="20" width="18.81640625" bestFit="1" customWidth="1"/>
    <col min="21" max="21" width="11.6328125" bestFit="1" customWidth="1"/>
    <col min="22" max="22" width="12.36328125" bestFit="1" customWidth="1"/>
    <col min="23" max="23" width="18.81640625" bestFit="1" customWidth="1"/>
    <col min="24" max="24" width="15.54296875" bestFit="1" customWidth="1"/>
  </cols>
  <sheetData>
    <row r="3" spans="1:6" x14ac:dyDescent="0.35">
      <c r="A3" s="4" t="s">
        <v>191</v>
      </c>
      <c r="B3" s="4" t="s">
        <v>190</v>
      </c>
    </row>
    <row r="4" spans="1:6" x14ac:dyDescent="0.35">
      <c r="A4" s="4" t="s">
        <v>188</v>
      </c>
      <c r="B4" t="s">
        <v>207</v>
      </c>
      <c r="C4" t="s">
        <v>204</v>
      </c>
      <c r="D4" t="s">
        <v>208</v>
      </c>
      <c r="E4" t="s">
        <v>218</v>
      </c>
      <c r="F4" t="s">
        <v>189</v>
      </c>
    </row>
    <row r="5" spans="1:6" x14ac:dyDescent="0.35">
      <c r="A5" s="5" t="s">
        <v>77</v>
      </c>
      <c r="B5" s="3"/>
      <c r="C5" s="3">
        <v>1700</v>
      </c>
      <c r="D5" s="3">
        <v>550</v>
      </c>
      <c r="E5" s="3"/>
      <c r="F5" s="3">
        <v>2250</v>
      </c>
    </row>
    <row r="6" spans="1:6" x14ac:dyDescent="0.35">
      <c r="A6" s="5" t="s">
        <v>29</v>
      </c>
      <c r="B6" s="3">
        <v>4050</v>
      </c>
      <c r="C6" s="3">
        <v>6825</v>
      </c>
      <c r="D6" s="3">
        <v>6325</v>
      </c>
      <c r="E6" s="3">
        <v>11270</v>
      </c>
      <c r="F6" s="3">
        <v>28470</v>
      </c>
    </row>
    <row r="7" spans="1:6" x14ac:dyDescent="0.35">
      <c r="A7" s="5" t="s">
        <v>39</v>
      </c>
      <c r="B7" s="3">
        <v>2240</v>
      </c>
      <c r="C7" s="3">
        <v>1250</v>
      </c>
      <c r="D7" s="3">
        <v>4560</v>
      </c>
      <c r="E7" s="3">
        <v>1400</v>
      </c>
      <c r="F7" s="3">
        <v>9450</v>
      </c>
    </row>
    <row r="8" spans="1:6" x14ac:dyDescent="0.35">
      <c r="A8" s="5" t="s">
        <v>19</v>
      </c>
      <c r="B8" s="3">
        <v>4685</v>
      </c>
      <c r="C8" s="3">
        <v>2535</v>
      </c>
      <c r="D8" s="3">
        <v>875</v>
      </c>
      <c r="E8" s="3">
        <v>7897.5</v>
      </c>
      <c r="F8" s="3">
        <v>15992.5</v>
      </c>
    </row>
    <row r="9" spans="1:6" x14ac:dyDescent="0.35">
      <c r="A9" s="5" t="s">
        <v>189</v>
      </c>
      <c r="B9" s="3">
        <v>10975</v>
      </c>
      <c r="C9" s="3">
        <v>12310</v>
      </c>
      <c r="D9" s="3">
        <v>12310</v>
      </c>
      <c r="E9" s="3">
        <v>20567.5</v>
      </c>
      <c r="F9" s="3">
        <v>56162.5</v>
      </c>
    </row>
    <row r="16" spans="1:6" x14ac:dyDescent="0.35">
      <c r="A16" s="4" t="s">
        <v>188</v>
      </c>
      <c r="B16" t="s">
        <v>191</v>
      </c>
      <c r="C16" t="s">
        <v>192</v>
      </c>
    </row>
    <row r="17" spans="1:7" x14ac:dyDescent="0.35">
      <c r="A17" s="5" t="s">
        <v>60</v>
      </c>
      <c r="B17" s="3">
        <v>4650</v>
      </c>
      <c r="C17">
        <v>4</v>
      </c>
    </row>
    <row r="18" spans="1:7" x14ac:dyDescent="0.35">
      <c r="A18" s="7" t="s">
        <v>41</v>
      </c>
      <c r="B18" s="3">
        <v>4650</v>
      </c>
      <c r="C18">
        <v>4</v>
      </c>
    </row>
    <row r="19" spans="1:7" x14ac:dyDescent="0.35">
      <c r="A19" s="8" t="s">
        <v>94</v>
      </c>
      <c r="B19" s="3">
        <v>1050</v>
      </c>
      <c r="C19">
        <v>1</v>
      </c>
    </row>
    <row r="20" spans="1:7" x14ac:dyDescent="0.35">
      <c r="A20" s="8" t="s">
        <v>124</v>
      </c>
      <c r="B20" s="3">
        <v>1200</v>
      </c>
      <c r="C20">
        <v>1</v>
      </c>
    </row>
    <row r="21" spans="1:7" x14ac:dyDescent="0.35">
      <c r="A21" s="8" t="s">
        <v>142</v>
      </c>
      <c r="B21" s="3">
        <v>1500</v>
      </c>
      <c r="C21">
        <v>1</v>
      </c>
    </row>
    <row r="22" spans="1:7" x14ac:dyDescent="0.35">
      <c r="A22" s="8" t="s">
        <v>54</v>
      </c>
      <c r="B22" s="3">
        <v>900</v>
      </c>
      <c r="C22">
        <v>1</v>
      </c>
    </row>
    <row r="23" spans="1:7" x14ac:dyDescent="0.35">
      <c r="A23" s="5" t="s">
        <v>69</v>
      </c>
      <c r="B23" s="3">
        <v>1980</v>
      </c>
      <c r="C23">
        <v>4</v>
      </c>
    </row>
    <row r="24" spans="1:7" x14ac:dyDescent="0.35">
      <c r="A24" s="7" t="s">
        <v>31</v>
      </c>
      <c r="B24" s="3">
        <v>1980</v>
      </c>
      <c r="C24">
        <v>4</v>
      </c>
    </row>
    <row r="25" spans="1:7" x14ac:dyDescent="0.35">
      <c r="A25" s="8" t="s">
        <v>102</v>
      </c>
      <c r="B25" s="3">
        <v>330</v>
      </c>
      <c r="C25">
        <v>1</v>
      </c>
    </row>
    <row r="26" spans="1:7" x14ac:dyDescent="0.35">
      <c r="A26" s="8" t="s">
        <v>131</v>
      </c>
      <c r="B26" s="3">
        <v>550</v>
      </c>
      <c r="C26">
        <v>1</v>
      </c>
      <c r="E26" s="4" t="s">
        <v>188</v>
      </c>
      <c r="F26" t="s">
        <v>191</v>
      </c>
      <c r="G26" t="s">
        <v>193</v>
      </c>
    </row>
    <row r="27" spans="1:7" x14ac:dyDescent="0.35">
      <c r="A27" s="8" t="s">
        <v>144</v>
      </c>
      <c r="B27" s="3">
        <v>660</v>
      </c>
      <c r="C27">
        <v>1</v>
      </c>
      <c r="E27" s="5" t="s">
        <v>26</v>
      </c>
      <c r="F27" s="3">
        <v>11405</v>
      </c>
      <c r="G27">
        <v>97</v>
      </c>
    </row>
    <row r="28" spans="1:7" x14ac:dyDescent="0.35">
      <c r="A28" s="8" t="s">
        <v>63</v>
      </c>
      <c r="B28" s="3">
        <v>440</v>
      </c>
      <c r="C28">
        <v>1</v>
      </c>
      <c r="E28" s="5" t="s">
        <v>17</v>
      </c>
      <c r="F28" s="3">
        <v>10012.5</v>
      </c>
      <c r="G28">
        <v>95</v>
      </c>
    </row>
    <row r="29" spans="1:7" x14ac:dyDescent="0.35">
      <c r="A29" s="5" t="s">
        <v>52</v>
      </c>
      <c r="B29" s="3">
        <v>2925</v>
      </c>
      <c r="C29">
        <v>4</v>
      </c>
      <c r="E29" s="5" t="s">
        <v>98</v>
      </c>
      <c r="F29" s="3">
        <v>8415</v>
      </c>
      <c r="G29">
        <v>11</v>
      </c>
    </row>
    <row r="30" spans="1:7" x14ac:dyDescent="0.35">
      <c r="A30" s="7" t="s">
        <v>31</v>
      </c>
      <c r="B30" s="3">
        <v>2925</v>
      </c>
      <c r="C30">
        <v>4</v>
      </c>
      <c r="E30" s="5" t="s">
        <v>147</v>
      </c>
      <c r="F30" s="3">
        <v>4450</v>
      </c>
      <c r="G30">
        <v>145</v>
      </c>
    </row>
    <row r="31" spans="1:7" x14ac:dyDescent="0.35">
      <c r="A31" s="8" t="s">
        <v>88</v>
      </c>
      <c r="B31" s="3">
        <v>540</v>
      </c>
      <c r="C31">
        <v>1</v>
      </c>
      <c r="E31" s="5" t="s">
        <v>49</v>
      </c>
      <c r="F31" s="3">
        <v>3525</v>
      </c>
      <c r="G31">
        <v>38</v>
      </c>
    </row>
    <row r="32" spans="1:7" x14ac:dyDescent="0.35">
      <c r="A32" s="8" t="s">
        <v>118</v>
      </c>
      <c r="B32" s="3">
        <v>810</v>
      </c>
      <c r="C32">
        <v>1</v>
      </c>
      <c r="E32" s="5" t="s">
        <v>65</v>
      </c>
      <c r="F32" s="3">
        <v>2990</v>
      </c>
      <c r="G32">
        <v>11</v>
      </c>
    </row>
    <row r="33" spans="1:15" x14ac:dyDescent="0.35">
      <c r="A33" s="8" t="s">
        <v>141</v>
      </c>
      <c r="B33" s="3">
        <v>900</v>
      </c>
      <c r="C33">
        <v>1</v>
      </c>
      <c r="E33" s="5" t="s">
        <v>107</v>
      </c>
      <c r="F33" s="3">
        <v>2470</v>
      </c>
      <c r="G33">
        <v>4</v>
      </c>
    </row>
    <row r="34" spans="1:15" x14ac:dyDescent="0.35">
      <c r="A34" s="8" t="s">
        <v>47</v>
      </c>
      <c r="B34" s="3">
        <v>675</v>
      </c>
      <c r="C34">
        <v>1</v>
      </c>
      <c r="E34" s="5" t="s">
        <v>75</v>
      </c>
      <c r="F34" s="3">
        <v>2250</v>
      </c>
      <c r="G34">
        <v>12</v>
      </c>
    </row>
    <row r="35" spans="1:15" x14ac:dyDescent="0.35">
      <c r="A35" s="5" t="s">
        <v>22</v>
      </c>
      <c r="B35" s="3">
        <v>25585</v>
      </c>
      <c r="C35">
        <v>8</v>
      </c>
      <c r="E35" s="5" t="s">
        <v>83</v>
      </c>
      <c r="F35" s="3">
        <v>2050</v>
      </c>
      <c r="G35">
        <v>55</v>
      </c>
    </row>
    <row r="36" spans="1:15" x14ac:dyDescent="0.35">
      <c r="A36" s="7" t="s">
        <v>21</v>
      </c>
      <c r="B36" s="3">
        <v>25585</v>
      </c>
      <c r="C36">
        <v>8</v>
      </c>
      <c r="E36" s="5" t="s">
        <v>90</v>
      </c>
      <c r="F36" s="3">
        <v>2040</v>
      </c>
      <c r="G36">
        <v>62</v>
      </c>
      <c r="J36" s="4" t="s">
        <v>6</v>
      </c>
      <c r="K36" t="s">
        <v>194</v>
      </c>
    </row>
    <row r="37" spans="1:15" x14ac:dyDescent="0.35">
      <c r="A37" s="8" t="s">
        <v>96</v>
      </c>
      <c r="B37" s="3">
        <v>3825</v>
      </c>
      <c r="C37">
        <v>1</v>
      </c>
      <c r="E37" s="5" t="s">
        <v>56</v>
      </c>
      <c r="F37" s="3">
        <v>1890</v>
      </c>
      <c r="G37">
        <v>48</v>
      </c>
    </row>
    <row r="38" spans="1:15" x14ac:dyDescent="0.35">
      <c r="A38" s="8" t="s">
        <v>73</v>
      </c>
      <c r="B38" s="3">
        <v>1700</v>
      </c>
      <c r="C38">
        <v>1</v>
      </c>
      <c r="E38" s="5" t="s">
        <v>127</v>
      </c>
      <c r="F38" s="3">
        <v>1530</v>
      </c>
      <c r="G38">
        <v>2</v>
      </c>
      <c r="J38" s="4" t="s">
        <v>188</v>
      </c>
      <c r="K38" t="s">
        <v>191</v>
      </c>
    </row>
    <row r="39" spans="1:15" x14ac:dyDescent="0.35">
      <c r="A39" s="8" t="s">
        <v>117</v>
      </c>
      <c r="B39" s="3">
        <v>2550</v>
      </c>
      <c r="C39">
        <v>1</v>
      </c>
      <c r="E39" s="5" t="s">
        <v>113</v>
      </c>
      <c r="F39" s="3">
        <v>1200</v>
      </c>
      <c r="G39">
        <v>30</v>
      </c>
      <c r="J39" s="5" t="s">
        <v>155</v>
      </c>
      <c r="K39" s="3">
        <v>3525</v>
      </c>
    </row>
    <row r="40" spans="1:15" x14ac:dyDescent="0.35">
      <c r="A40" s="8" t="s">
        <v>125</v>
      </c>
      <c r="B40" s="3">
        <v>1530</v>
      </c>
      <c r="C40">
        <v>1</v>
      </c>
      <c r="E40" s="5" t="s">
        <v>134</v>
      </c>
      <c r="F40" s="3">
        <v>1125</v>
      </c>
      <c r="G40">
        <v>45</v>
      </c>
      <c r="J40" s="5" t="s">
        <v>163</v>
      </c>
      <c r="K40" s="3">
        <v>8415</v>
      </c>
    </row>
    <row r="41" spans="1:15" x14ac:dyDescent="0.35">
      <c r="A41" s="8" t="s">
        <v>140</v>
      </c>
      <c r="B41" s="3">
        <v>4590</v>
      </c>
      <c r="C41">
        <v>1</v>
      </c>
      <c r="E41" s="5" t="s">
        <v>120</v>
      </c>
      <c r="F41" s="3">
        <v>810</v>
      </c>
      <c r="G41">
        <v>18</v>
      </c>
      <c r="J41" s="5" t="s">
        <v>158</v>
      </c>
      <c r="K41" s="3">
        <v>2250</v>
      </c>
    </row>
    <row r="42" spans="1:15" x14ac:dyDescent="0.35">
      <c r="A42" s="8" t="s">
        <v>143</v>
      </c>
      <c r="B42" s="3">
        <v>5780</v>
      </c>
      <c r="C42">
        <v>1</v>
      </c>
      <c r="E42" s="5" t="s">
        <v>189</v>
      </c>
      <c r="F42" s="3">
        <v>56162.5</v>
      </c>
      <c r="G42">
        <v>673</v>
      </c>
      <c r="J42" s="5" t="s">
        <v>152</v>
      </c>
      <c r="K42" s="3">
        <v>11405</v>
      </c>
    </row>
    <row r="43" spans="1:15" x14ac:dyDescent="0.35">
      <c r="A43" s="8" t="s">
        <v>15</v>
      </c>
      <c r="B43" s="3">
        <v>2550</v>
      </c>
      <c r="C43">
        <v>1</v>
      </c>
      <c r="J43" s="5" t="s">
        <v>151</v>
      </c>
      <c r="K43" s="3">
        <v>8777.5</v>
      </c>
    </row>
    <row r="44" spans="1:15" x14ac:dyDescent="0.35">
      <c r="A44" s="8" t="s">
        <v>61</v>
      </c>
      <c r="B44" s="3">
        <v>3060</v>
      </c>
      <c r="C44">
        <v>1</v>
      </c>
      <c r="J44" s="5" t="s">
        <v>157</v>
      </c>
      <c r="K44" s="3">
        <v>2990</v>
      </c>
      <c r="N44" s="4" t="s">
        <v>188</v>
      </c>
      <c r="O44" t="s">
        <v>191</v>
      </c>
    </row>
    <row r="45" spans="1:15" x14ac:dyDescent="0.35">
      <c r="A45" s="5" t="s">
        <v>72</v>
      </c>
      <c r="B45" s="3">
        <v>3375</v>
      </c>
      <c r="C45">
        <v>3</v>
      </c>
      <c r="J45" s="5" t="s">
        <v>153</v>
      </c>
      <c r="K45" s="3">
        <v>4450</v>
      </c>
      <c r="N45" s="5" t="s">
        <v>209</v>
      </c>
      <c r="O45" s="3">
        <v>3665</v>
      </c>
    </row>
    <row r="46" spans="1:15" x14ac:dyDescent="0.35">
      <c r="A46" s="7" t="s">
        <v>41</v>
      </c>
      <c r="B46" s="3">
        <v>3375</v>
      </c>
      <c r="C46">
        <v>3</v>
      </c>
      <c r="J46" s="5" t="s">
        <v>164</v>
      </c>
      <c r="K46" s="3">
        <v>2050</v>
      </c>
      <c r="N46" s="5" t="s">
        <v>210</v>
      </c>
      <c r="O46" s="3">
        <v>2810</v>
      </c>
    </row>
    <row r="47" spans="1:15" x14ac:dyDescent="0.35">
      <c r="A47" s="8" t="s">
        <v>103</v>
      </c>
      <c r="B47" s="3">
        <v>1250</v>
      </c>
      <c r="C47">
        <v>1</v>
      </c>
      <c r="J47" s="5" t="s">
        <v>162</v>
      </c>
      <c r="K47" s="3">
        <v>2040</v>
      </c>
      <c r="N47" s="5" t="s">
        <v>205</v>
      </c>
      <c r="O47" s="3">
        <v>4500</v>
      </c>
    </row>
    <row r="48" spans="1:15" x14ac:dyDescent="0.35">
      <c r="A48" s="8" t="s">
        <v>132</v>
      </c>
      <c r="B48" s="3">
        <v>1125</v>
      </c>
      <c r="C48">
        <v>1</v>
      </c>
      <c r="J48" s="5" t="s">
        <v>166</v>
      </c>
      <c r="K48" s="3">
        <v>2470</v>
      </c>
      <c r="N48" s="5" t="s">
        <v>211</v>
      </c>
      <c r="O48" s="3">
        <v>3365</v>
      </c>
    </row>
    <row r="49" spans="1:21" x14ac:dyDescent="0.35">
      <c r="A49" s="8" t="s">
        <v>71</v>
      </c>
      <c r="B49" s="3">
        <v>1000</v>
      </c>
      <c r="C49">
        <v>1</v>
      </c>
      <c r="J49" s="5" t="s">
        <v>189</v>
      </c>
      <c r="K49" s="3">
        <v>48372.5</v>
      </c>
      <c r="N49" s="5" t="s">
        <v>212</v>
      </c>
      <c r="O49" s="3">
        <v>3540</v>
      </c>
    </row>
    <row r="50" spans="1:21" x14ac:dyDescent="0.35">
      <c r="A50" s="5" t="s">
        <v>46</v>
      </c>
      <c r="B50" s="3">
        <v>8742.5</v>
      </c>
      <c r="C50">
        <v>4</v>
      </c>
      <c r="N50" s="5" t="s">
        <v>203</v>
      </c>
      <c r="O50" s="3">
        <v>5405</v>
      </c>
    </row>
    <row r="51" spans="1:21" x14ac:dyDescent="0.35">
      <c r="A51" s="7" t="s">
        <v>21</v>
      </c>
      <c r="B51" s="3">
        <v>8742.5</v>
      </c>
      <c r="C51">
        <v>4</v>
      </c>
      <c r="N51" s="5" t="s">
        <v>213</v>
      </c>
      <c r="O51" s="3">
        <v>4545</v>
      </c>
    </row>
    <row r="52" spans="1:21" x14ac:dyDescent="0.35">
      <c r="A52" s="8" t="s">
        <v>87</v>
      </c>
      <c r="B52" s="3">
        <v>1950</v>
      </c>
      <c r="C52">
        <v>1</v>
      </c>
      <c r="N52" s="5" t="s">
        <v>214</v>
      </c>
      <c r="O52" s="3">
        <v>4560</v>
      </c>
    </row>
    <row r="53" spans="1:21" x14ac:dyDescent="0.35">
      <c r="A53" s="8" t="s">
        <v>105</v>
      </c>
      <c r="B53" s="3">
        <v>2470</v>
      </c>
      <c r="C53">
        <v>1</v>
      </c>
      <c r="N53" s="5" t="s">
        <v>206</v>
      </c>
      <c r="O53" s="3">
        <v>3205</v>
      </c>
    </row>
    <row r="54" spans="1:21" x14ac:dyDescent="0.35">
      <c r="A54" s="8" t="s">
        <v>137</v>
      </c>
      <c r="B54" s="3">
        <v>3087.5</v>
      </c>
      <c r="C54">
        <v>1</v>
      </c>
      <c r="N54" s="5" t="s">
        <v>215</v>
      </c>
      <c r="O54" s="3">
        <v>5537.5</v>
      </c>
    </row>
    <row r="55" spans="1:21" x14ac:dyDescent="0.35">
      <c r="A55" s="8" t="s">
        <v>44</v>
      </c>
      <c r="B55" s="3">
        <v>1235</v>
      </c>
      <c r="C55">
        <v>1</v>
      </c>
      <c r="N55" s="5" t="s">
        <v>216</v>
      </c>
      <c r="O55" s="3">
        <v>6990</v>
      </c>
    </row>
    <row r="56" spans="1:21" x14ac:dyDescent="0.35">
      <c r="A56" s="5" t="s">
        <v>42</v>
      </c>
      <c r="B56" s="3">
        <v>6000</v>
      </c>
      <c r="C56">
        <v>5</v>
      </c>
      <c r="N56" s="5" t="s">
        <v>217</v>
      </c>
      <c r="O56" s="3">
        <v>8040</v>
      </c>
    </row>
    <row r="57" spans="1:21" x14ac:dyDescent="0.35">
      <c r="A57" s="7" t="s">
        <v>41</v>
      </c>
      <c r="B57" s="3">
        <v>6000</v>
      </c>
      <c r="C57">
        <v>5</v>
      </c>
      <c r="N57" s="5" t="s">
        <v>189</v>
      </c>
      <c r="O57" s="3">
        <v>56162.5</v>
      </c>
    </row>
    <row r="58" spans="1:21" x14ac:dyDescent="0.35">
      <c r="A58" s="8" t="s">
        <v>81</v>
      </c>
      <c r="B58" s="3">
        <v>1000</v>
      </c>
      <c r="C58">
        <v>1</v>
      </c>
    </row>
    <row r="59" spans="1:21" x14ac:dyDescent="0.35">
      <c r="A59" s="8" t="s">
        <v>111</v>
      </c>
      <c r="B59" s="3">
        <v>1200</v>
      </c>
      <c r="C59">
        <v>1</v>
      </c>
    </row>
    <row r="60" spans="1:21" x14ac:dyDescent="0.35">
      <c r="A60" s="8" t="s">
        <v>145</v>
      </c>
      <c r="B60" s="3">
        <v>1600</v>
      </c>
      <c r="C60">
        <v>1</v>
      </c>
    </row>
    <row r="61" spans="1:21" x14ac:dyDescent="0.35">
      <c r="A61" s="8" t="s">
        <v>139</v>
      </c>
      <c r="B61" s="3">
        <v>1400</v>
      </c>
      <c r="C61">
        <v>1</v>
      </c>
    </row>
    <row r="62" spans="1:21" x14ac:dyDescent="0.35">
      <c r="A62" s="8" t="s">
        <v>34</v>
      </c>
      <c r="B62" s="3">
        <v>800</v>
      </c>
      <c r="C62">
        <v>1</v>
      </c>
    </row>
    <row r="63" spans="1:21" x14ac:dyDescent="0.35">
      <c r="A63" s="5" t="s">
        <v>32</v>
      </c>
      <c r="B63" s="3">
        <v>2905</v>
      </c>
      <c r="C63">
        <v>4</v>
      </c>
      <c r="S63" s="4" t="s">
        <v>188</v>
      </c>
      <c r="T63" t="s">
        <v>191</v>
      </c>
      <c r="U63" t="s">
        <v>195</v>
      </c>
    </row>
    <row r="64" spans="1:21" x14ac:dyDescent="0.35">
      <c r="A64" s="7" t="s">
        <v>31</v>
      </c>
      <c r="B64" s="3">
        <v>2905</v>
      </c>
      <c r="C64">
        <v>4</v>
      </c>
      <c r="S64" s="5" t="s">
        <v>196</v>
      </c>
      <c r="T64" s="3">
        <v>2890</v>
      </c>
      <c r="U64">
        <v>4</v>
      </c>
    </row>
    <row r="65" spans="1:24" x14ac:dyDescent="0.35">
      <c r="A65" s="8" t="s">
        <v>79</v>
      </c>
      <c r="B65" s="3">
        <v>665</v>
      </c>
      <c r="C65">
        <v>1</v>
      </c>
      <c r="S65" s="5" t="s">
        <v>197</v>
      </c>
      <c r="T65" s="3">
        <v>16927.5</v>
      </c>
      <c r="U65">
        <v>9</v>
      </c>
    </row>
    <row r="66" spans="1:24" x14ac:dyDescent="0.35">
      <c r="A66" s="8" t="s">
        <v>138</v>
      </c>
      <c r="B66" s="3">
        <v>1050</v>
      </c>
      <c r="C66">
        <v>1</v>
      </c>
      <c r="S66" s="5" t="s">
        <v>198</v>
      </c>
      <c r="T66" s="3">
        <v>13480</v>
      </c>
      <c r="U66">
        <v>7</v>
      </c>
    </row>
    <row r="67" spans="1:24" x14ac:dyDescent="0.35">
      <c r="A67" s="8" t="s">
        <v>110</v>
      </c>
      <c r="B67" s="3">
        <v>875</v>
      </c>
      <c r="C67">
        <v>1</v>
      </c>
      <c r="S67" s="5" t="s">
        <v>199</v>
      </c>
      <c r="T67" s="3">
        <v>12440</v>
      </c>
      <c r="U67">
        <v>7</v>
      </c>
    </row>
    <row r="68" spans="1:24" x14ac:dyDescent="0.35">
      <c r="A68" s="8" t="s">
        <v>24</v>
      </c>
      <c r="B68" s="3">
        <v>315</v>
      </c>
      <c r="C68">
        <v>1</v>
      </c>
      <c r="S68" s="5" t="s">
        <v>200</v>
      </c>
      <c r="T68" s="3">
        <v>6050</v>
      </c>
      <c r="U68">
        <v>5</v>
      </c>
    </row>
    <row r="69" spans="1:24" x14ac:dyDescent="0.35">
      <c r="A69" s="5" t="s">
        <v>189</v>
      </c>
      <c r="B69" s="3">
        <v>56162.5</v>
      </c>
      <c r="C69">
        <v>36</v>
      </c>
      <c r="S69" s="5" t="s">
        <v>201</v>
      </c>
      <c r="T69" s="3">
        <v>3250</v>
      </c>
      <c r="U69">
        <v>3</v>
      </c>
      <c r="V69" s="4" t="s">
        <v>188</v>
      </c>
      <c r="W69" t="s">
        <v>191</v>
      </c>
      <c r="X69" t="s">
        <v>192</v>
      </c>
    </row>
    <row r="70" spans="1:24" x14ac:dyDescent="0.35">
      <c r="S70" s="5" t="s">
        <v>202</v>
      </c>
      <c r="T70" s="3">
        <v>1125</v>
      </c>
      <c r="U70">
        <v>1</v>
      </c>
      <c r="V70" s="5" t="s">
        <v>43</v>
      </c>
      <c r="W70" s="6">
        <v>0.27545070109058534</v>
      </c>
      <c r="X70">
        <v>9</v>
      </c>
    </row>
    <row r="71" spans="1:24" x14ac:dyDescent="0.35">
      <c r="S71" s="5" t="s">
        <v>189</v>
      </c>
      <c r="T71" s="3">
        <v>56162.5</v>
      </c>
      <c r="U71">
        <v>36</v>
      </c>
      <c r="V71" s="5" t="s">
        <v>53</v>
      </c>
      <c r="W71" s="6">
        <v>0.2095704429111952</v>
      </c>
      <c r="X71">
        <v>9</v>
      </c>
    </row>
    <row r="72" spans="1:24" x14ac:dyDescent="0.35">
      <c r="V72" s="5" t="s">
        <v>23</v>
      </c>
      <c r="W72" s="6">
        <v>0.51497885599821946</v>
      </c>
      <c r="X72">
        <v>18</v>
      </c>
    </row>
    <row r="73" spans="1:24" x14ac:dyDescent="0.35">
      <c r="V73" s="5" t="s">
        <v>189</v>
      </c>
      <c r="W73" s="6">
        <v>1</v>
      </c>
      <c r="X73">
        <v>36</v>
      </c>
    </row>
  </sheetData>
  <conditionalFormatting pivot="1" sqref="F27:F41">
    <cfRule type="dataBar" priority="1">
      <dataBar>
        <cfvo type="min"/>
        <cfvo type="max"/>
        <color rgb="FF638EC6"/>
      </dataBar>
      <extLst>
        <ext xmlns:x14="http://schemas.microsoft.com/office/spreadsheetml/2009/9/main" uri="{B025F937-C7B1-47D3-B67F-A62EFF666E3E}">
          <x14:id>{EB8A635E-1B3E-4DFB-8BA5-E88688AB4293}</x14:id>
        </ext>
      </extLst>
    </cfRule>
  </conditionalFormatting>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pivot="1">
          <x14:cfRule type="dataBar" id="{EB8A635E-1B3E-4DFB-8BA5-E88688AB4293}">
            <x14:dataBar minLength="0" maxLength="100" border="1" negativeBarBorderColorSameAsPositive="0">
              <x14:cfvo type="autoMin"/>
              <x14:cfvo type="autoMax"/>
              <x14:borderColor rgb="FF638EC6"/>
              <x14:negativeFillColor rgb="FFFF0000"/>
              <x14:negativeBorderColor rgb="FFFF0000"/>
              <x14:axisColor rgb="FF000000"/>
            </x14:dataBar>
          </x14:cfRule>
          <xm:sqref>F27:F41</xm:sqref>
        </x14:conditionalFormatting>
      </x14:conditionalFormattings>
    </ex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Entry</vt:lpstr>
      <vt:lpstr>Data Cleaning</vt:lpstr>
      <vt:lpstr>Lookup Tables</vt:lpstr>
      <vt:lpstr>Pivot_PaymentMethod</vt:lpstr>
      <vt:lpstr>StateLookup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adeyemo oyindamola</dc:creator>
  <cp:lastModifiedBy>adeyemo oyindamola</cp:lastModifiedBy>
  <dcterms:created xsi:type="dcterms:W3CDTF">2026-08-06T11:05:14Z</dcterms:created>
  <dcterms:modified xsi:type="dcterms:W3CDTF">2026-08-22T21:33:57Z</dcterms:modified>
</cp:coreProperties>
</file>